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Curve" sheetId="1" state="visible" r:id="rId1"/>
    <sheet xmlns:r="http://schemas.openxmlformats.org/officeDocument/2006/relationships" name="Annual" sheetId="2" state="visible" r:id="rId2"/>
    <sheet xmlns:r="http://schemas.openxmlformats.org/officeDocument/2006/relationships" name="Futures Inputs" sheetId="3" state="visible" r:id="rId3"/>
    <sheet xmlns:r="http://schemas.openxmlformats.org/officeDocument/2006/relationships" name="SOFR Fixings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%"/>
    <numFmt numFmtId="166" formatCode="0.0"/>
    <numFmt numFmtId="167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A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" fontId="5" fillId="2" borderId="0" pivotButton="0" quotePrefix="0" xfId="0"/>
    <xf numFmtId="165" fontId="5" fillId="2" borderId="0" pivotButton="0" quotePrefix="0" xfId="0"/>
    <xf numFmtId="0" fontId="6" fillId="3" borderId="0" applyAlignment="1" pivotButton="0" quotePrefix="0" xfId="0">
      <alignment horizontal="center" vertical="center" wrapText="1"/>
    </xf>
    <xf numFmtId="164" fontId="3" fillId="0" borderId="1" pivotButton="0" quotePrefix="0" xfId="0"/>
    <xf numFmtId="1" fontId="3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164" fontId="3" fillId="4" borderId="1" pivotButton="0" quotePrefix="0" xfId="0"/>
    <xf numFmtId="1" fontId="3" fillId="4" borderId="1" pivotButton="0" quotePrefix="0" xfId="0"/>
    <xf numFmtId="165" fontId="5" fillId="4" borderId="1" pivotButton="0" quotePrefix="0" xfId="0"/>
    <xf numFmtId="166" fontId="5" fillId="4" borderId="1" pivotButton="0" quotePrefix="0" xfId="0"/>
    <xf numFmtId="0" fontId="3" fillId="4" borderId="1" pivotButton="0" quotePrefix="0" xfId="0"/>
    <xf numFmtId="165" fontId="3" fillId="4" borderId="1" pivotButton="0" quotePrefix="0" xfId="0"/>
    <xf numFmtId="1" fontId="5" fillId="0" borderId="1" pivotButton="0" quotePrefix="0" xfId="0"/>
    <xf numFmtId="167" fontId="5" fillId="0" borderId="1" pivotButton="0" quotePrefix="0" xfId="0"/>
    <xf numFmtId="2" fontId="5" fillId="0" borderId="1" pivotButton="0" quotePrefix="0" xfId="0"/>
    <xf numFmtId="3" fontId="5" fillId="0" borderId="1" pivotButton="0" quotePrefix="0" xfId="0"/>
    <xf numFmtId="165" fontId="5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SOFR forward curve, 2026-10-16</a:t>
            </a:r>
          </a:p>
        </rich>
      </tx>
    </title>
    <plotArea>
      <lineChart>
        <grouping val="standard"/>
        <ser>
          <idx val="0"/>
          <order val="0"/>
          <tx>
            <strRef>
              <f>'Forward Curve'!D11</f>
            </strRef>
          </tx>
          <spPr>
            <a:ln xmlns:a="http://schemas.openxmlformats.org/drawingml/2006/main" w="28000">
              <a:solidFill>
                <a:srgbClr val="1F3A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'Forward Curve'!$A$12:$A$132</f>
            </numRef>
          </cat>
          <val>
            <numRef>
              <f>'Forward Curve'!$D$12:$D$132</f>
            </numRef>
          </val>
          <smooth val="0"/>
        </ser>
        <ser>
          <idx val="1"/>
          <order val="1"/>
          <tx>
            <strRef>
              <f>'Forward Curve'!F11</f>
            </strRef>
          </tx>
          <spPr>
            <a:ln xmlns:a="http://schemas.openxmlformats.org/drawingml/2006/main">
              <a:solidFill>
                <a:srgbClr val="A6A6A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'Forward Curve'!$A$12:$A$132</f>
            </numRef>
          </cat>
          <val>
            <numRef>
              <f>'Forward Curve'!$F$12:$F$132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1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13" customWidth="1" min="4" max="4"/>
    <col width="13" customWidth="1" min="5" max="5"/>
    <col width="15" customWidth="1" min="6" max="6"/>
    <col width="11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SOFR Forward Curve: monthly, 10 years</t>
        </is>
      </c>
    </row>
    <row r="2">
      <c r="A2" s="2" t="inlineStr">
        <is>
          <t>Curve date (CME settlement)</t>
        </is>
      </c>
      <c r="B2" s="3" t="n">
        <v>46311</v>
      </c>
    </row>
    <row r="3">
      <c r="A3" s="2" t="inlineStr">
        <is>
          <t>Last SOFR fixing</t>
        </is>
      </c>
      <c r="B3" s="4" t="n">
        <v>0.0389</v>
      </c>
      <c r="C3" s="5" t="inlineStr">
        <is>
          <t>on 2026-10-15 (NY Fed)</t>
        </is>
      </c>
    </row>
    <row r="4">
      <c r="A4" s="2" t="inlineStr">
        <is>
          <t>Generated</t>
        </is>
      </c>
      <c r="B4" s="6" t="inlineStr">
        <is>
          <t>2026-10-17 13:24 UTC</t>
        </is>
      </c>
    </row>
    <row r="6">
      <c r="A6" s="2" t="inlineStr">
        <is>
          <t>Loan inputs (edit the yellow cells)</t>
        </is>
      </c>
    </row>
    <row r="7">
      <c r="A7" s="6" t="inlineStr">
        <is>
          <t>Spread over SOFR (bp)</t>
        </is>
      </c>
      <c r="B7" s="7" t="n">
        <v>250</v>
      </c>
      <c r="C7" s="5" t="inlineStr">
        <is>
          <t>Example: 250 = SOFR + 2.50%</t>
        </is>
      </c>
    </row>
    <row r="8">
      <c r="A8" s="6" t="inlineStr">
        <is>
          <t>SOFR floor</t>
        </is>
      </c>
      <c r="B8" s="8" t="n">
        <v>0</v>
      </c>
    </row>
    <row r="9">
      <c r="A9" s="6" t="inlineStr">
        <is>
          <t>SOFR cap strike (blank = no cap)</t>
        </is>
      </c>
      <c r="B9" s="8" t="n"/>
      <c r="C9" s="5" t="inlineStr">
        <is>
          <t>Example: 4.00% caps the index at 4.00%</t>
        </is>
      </c>
    </row>
    <row r="11" ht="30" customHeight="1">
      <c r="A11" s="9" t="inlineStr">
        <is>
          <t>Reset Date</t>
        </is>
      </c>
      <c r="B11" s="9" t="inlineStr">
        <is>
          <t>End Date</t>
        </is>
      </c>
      <c r="C11" s="9" t="inlineStr">
        <is>
          <t>Days</t>
        </is>
      </c>
      <c r="D11" s="9" t="inlineStr">
        <is>
          <t>1M Fwd SOFR</t>
        </is>
      </c>
      <c r="E11" s="9" t="inlineStr">
        <is>
          <t>Avg Overnight SOFR</t>
        </is>
      </c>
      <c r="F11" s="9" t="inlineStr">
        <is>
          <t>Futures-Implied (no convexity)</t>
        </is>
      </c>
      <c r="G11" s="9" t="inlineStr">
        <is>
          <t>Convexity (bp)</t>
        </is>
      </c>
      <c r="H11" s="9" t="inlineStr">
        <is>
          <t>Status</t>
        </is>
      </c>
      <c r="I11" s="9" t="inlineStr">
        <is>
          <t>Index Rate (after floor / cap)</t>
        </is>
      </c>
      <c r="J11" s="9" t="inlineStr">
        <is>
          <t>All-in Rate</t>
        </is>
      </c>
    </row>
    <row r="12">
      <c r="A12" s="10" t="n">
        <v>46296</v>
      </c>
      <c r="B12" s="10" t="n">
        <v>46327</v>
      </c>
      <c r="C12" s="11" t="n">
        <v>31</v>
      </c>
      <c r="D12" s="12" t="n">
        <v>0.0389421</v>
      </c>
      <c r="E12" s="12" t="n">
        <v>0.0388812</v>
      </c>
      <c r="F12" s="12" t="n">
        <v>0.038942</v>
      </c>
      <c r="G12" s="13" t="n">
        <v>0</v>
      </c>
      <c r="H12" s="14" t="inlineStr">
        <is>
          <t>partially fixed</t>
        </is>
      </c>
      <c r="I12" s="15">
        <f>MAX($B$8,IF($B$9="",D12,MIN(D12,$B$9)))</f>
        <v/>
      </c>
      <c r="J12" s="15">
        <f>I12+$B$7/10000</f>
        <v/>
      </c>
    </row>
    <row r="13">
      <c r="A13" s="10" t="n">
        <v>46327</v>
      </c>
      <c r="B13" s="10" t="n">
        <v>46357</v>
      </c>
      <c r="C13" s="11" t="n">
        <v>30</v>
      </c>
      <c r="D13" s="12" t="n">
        <v>0.0394431</v>
      </c>
      <c r="E13" s="12" t="n">
        <v>0.0393826</v>
      </c>
      <c r="F13" s="12" t="n">
        <v>0.039443</v>
      </c>
      <c r="G13" s="13" t="n">
        <v>0</v>
      </c>
      <c r="H13" s="14" t="inlineStr">
        <is>
          <t>market</t>
        </is>
      </c>
      <c r="I13" s="15">
        <f>MAX($B$8,IF($B$9="",D13,MIN(D13,$B$9)))</f>
        <v/>
      </c>
      <c r="J13" s="15">
        <f>I13+$B$7/10000</f>
        <v/>
      </c>
    </row>
    <row r="14">
      <c r="A14" s="10" t="n">
        <v>46357</v>
      </c>
      <c r="B14" s="10" t="n">
        <v>46388</v>
      </c>
      <c r="C14" s="11" t="n">
        <v>31</v>
      </c>
      <c r="D14" s="12" t="n">
        <v>0.0410883</v>
      </c>
      <c r="E14" s="12" t="n">
        <v>0.0410204</v>
      </c>
      <c r="F14" s="12" t="n">
        <v>0.0410894</v>
      </c>
      <c r="G14" s="13" t="n">
        <v>0.01</v>
      </c>
      <c r="H14" s="14" t="inlineStr">
        <is>
          <t>market</t>
        </is>
      </c>
      <c r="I14" s="15">
        <f>MAX($B$8,IF($B$9="",D14,MIN(D14,$B$9)))</f>
        <v/>
      </c>
      <c r="J14" s="15">
        <f>I14+$B$7/10000</f>
        <v/>
      </c>
    </row>
    <row r="15">
      <c r="A15" s="10" t="n">
        <v>46388</v>
      </c>
      <c r="B15" s="10" t="n">
        <v>46419</v>
      </c>
      <c r="C15" s="11" t="n">
        <v>31</v>
      </c>
      <c r="D15" s="12" t="n">
        <v>0.0418601</v>
      </c>
      <c r="E15" s="12" t="n">
        <v>0.0417901</v>
      </c>
      <c r="F15" s="12" t="n">
        <v>0.0418619</v>
      </c>
      <c r="G15" s="13" t="n">
        <v>0.02</v>
      </c>
      <c r="H15" s="14" t="inlineStr">
        <is>
          <t>market</t>
        </is>
      </c>
      <c r="I15" s="15">
        <f>MAX($B$8,IF($B$9="",D15,MIN(D15,$B$9)))</f>
        <v/>
      </c>
      <c r="J15" s="15">
        <f>I15+$B$7/10000</f>
        <v/>
      </c>
    </row>
    <row r="16">
      <c r="A16" s="10" t="n">
        <v>46419</v>
      </c>
      <c r="B16" s="10" t="n">
        <v>46447</v>
      </c>
      <c r="C16" s="11" t="n">
        <v>28</v>
      </c>
      <c r="D16" s="12" t="n">
        <v>0.0425273</v>
      </c>
      <c r="E16" s="12" t="n">
        <v>0.04246229999999999</v>
      </c>
      <c r="F16" s="12" t="n">
        <v>0.0425314</v>
      </c>
      <c r="G16" s="13" t="n">
        <v>0.04</v>
      </c>
      <c r="H16" s="14" t="inlineStr">
        <is>
          <t>market</t>
        </is>
      </c>
      <c r="I16" s="15">
        <f>MAX($B$8,IF($B$9="",D16,MIN(D16,$B$9)))</f>
        <v/>
      </c>
      <c r="J16" s="15">
        <f>I16+$B$7/10000</f>
        <v/>
      </c>
    </row>
    <row r="17">
      <c r="A17" s="10" t="n">
        <v>46447</v>
      </c>
      <c r="B17" s="10" t="n">
        <v>46478</v>
      </c>
      <c r="C17" s="11" t="n">
        <v>31</v>
      </c>
      <c r="D17" s="12" t="n">
        <v>0.0432742</v>
      </c>
      <c r="E17" s="12" t="n">
        <v>0.0431989</v>
      </c>
      <c r="F17" s="12" t="n">
        <v>0.0432806</v>
      </c>
      <c r="G17" s="13" t="n">
        <v>0.06</v>
      </c>
      <c r="H17" s="14" t="inlineStr">
        <is>
          <t>market</t>
        </is>
      </c>
      <c r="I17" s="15">
        <f>MAX($B$8,IF($B$9="",D17,MIN(D17,$B$9)))</f>
        <v/>
      </c>
      <c r="J17" s="15">
        <f>I17+$B$7/10000</f>
        <v/>
      </c>
    </row>
    <row r="18">
      <c r="A18" s="10" t="n">
        <v>46478</v>
      </c>
      <c r="B18" s="10" t="n">
        <v>46508</v>
      </c>
      <c r="C18" s="11" t="n">
        <v>30</v>
      </c>
      <c r="D18" s="12" t="n">
        <v>0.04422830000000001</v>
      </c>
      <c r="E18" s="12" t="n">
        <v>0.0441519</v>
      </c>
      <c r="F18" s="12" t="n">
        <v>0.0442377</v>
      </c>
      <c r="G18" s="13" t="n">
        <v>0.09</v>
      </c>
      <c r="H18" s="14" t="inlineStr">
        <is>
          <t>market</t>
        </is>
      </c>
      <c r="I18" s="15">
        <f>MAX($B$8,IF($B$9="",D18,MIN(D18,$B$9)))</f>
        <v/>
      </c>
      <c r="J18" s="15">
        <f>I18+$B$7/10000</f>
        <v/>
      </c>
    </row>
    <row r="19">
      <c r="A19" s="10" t="n">
        <v>46508</v>
      </c>
      <c r="B19" s="10" t="n">
        <v>46539</v>
      </c>
      <c r="C19" s="11" t="n">
        <v>31</v>
      </c>
      <c r="D19" s="12" t="n">
        <v>0.045053</v>
      </c>
      <c r="E19" s="12" t="n">
        <v>0.0449715</v>
      </c>
      <c r="F19" s="12" t="n">
        <v>0.0450659</v>
      </c>
      <c r="G19" s="13" t="n">
        <v>0.13</v>
      </c>
      <c r="H19" s="14" t="inlineStr">
        <is>
          <t>market</t>
        </is>
      </c>
      <c r="I19" s="15">
        <f>MAX($B$8,IF($B$9="",D19,MIN(D19,$B$9)))</f>
        <v/>
      </c>
      <c r="J19" s="15">
        <f>I19+$B$7/10000</f>
        <v/>
      </c>
    </row>
    <row r="20">
      <c r="A20" s="10" t="n">
        <v>46539</v>
      </c>
      <c r="B20" s="10" t="n">
        <v>46569</v>
      </c>
      <c r="C20" s="11" t="n">
        <v>30</v>
      </c>
      <c r="D20" s="12" t="n">
        <v>0.04572689999999999</v>
      </c>
      <c r="E20" s="12" t="n">
        <v>0.0456458</v>
      </c>
      <c r="F20" s="12" t="n">
        <v>0.0457452</v>
      </c>
      <c r="G20" s="13" t="n">
        <v>0.18</v>
      </c>
      <c r="H20" s="14" t="inlineStr">
        <is>
          <t>market</t>
        </is>
      </c>
      <c r="I20" s="15">
        <f>MAX($B$8,IF($B$9="",D20,MIN(D20,$B$9)))</f>
        <v/>
      </c>
      <c r="J20" s="15">
        <f>I20+$B$7/10000</f>
        <v/>
      </c>
    </row>
    <row r="21">
      <c r="A21" s="10" t="n">
        <v>46569</v>
      </c>
      <c r="B21" s="10" t="n">
        <v>46600</v>
      </c>
      <c r="C21" s="11" t="n">
        <v>31</v>
      </c>
      <c r="D21" s="12" t="n">
        <v>0.0460442</v>
      </c>
      <c r="E21" s="12" t="n">
        <v>0.0459591</v>
      </c>
      <c r="F21" s="12" t="n">
        <v>0.0460655</v>
      </c>
      <c r="G21" s="13" t="n">
        <v>0.21</v>
      </c>
      <c r="H21" s="14" t="inlineStr">
        <is>
          <t>market</t>
        </is>
      </c>
      <c r="I21" s="15">
        <f>MAX($B$8,IF($B$9="",D21,MIN(D21,$B$9)))</f>
        <v/>
      </c>
      <c r="J21" s="15">
        <f>I21+$B$7/10000</f>
        <v/>
      </c>
    </row>
    <row r="22">
      <c r="A22" s="10" t="n">
        <v>46600</v>
      </c>
      <c r="B22" s="10" t="n">
        <v>46631</v>
      </c>
      <c r="C22" s="11" t="n">
        <v>31</v>
      </c>
      <c r="D22" s="12" t="n">
        <v>0.04627290000000001</v>
      </c>
      <c r="E22" s="12" t="n">
        <v>0.0461862</v>
      </c>
      <c r="F22" s="12" t="n">
        <v>0.04630049999999999</v>
      </c>
      <c r="G22" s="13" t="n">
        <v>0.28</v>
      </c>
      <c r="H22" s="14" t="inlineStr">
        <is>
          <t>market</t>
        </is>
      </c>
      <c r="I22" s="15">
        <f>MAX($B$8,IF($B$9="",D22,MIN(D22,$B$9)))</f>
        <v/>
      </c>
      <c r="J22" s="15">
        <f>I22+$B$7/10000</f>
        <v/>
      </c>
    </row>
    <row r="23">
      <c r="A23" s="10" t="n">
        <v>46631</v>
      </c>
      <c r="B23" s="10" t="n">
        <v>46661</v>
      </c>
      <c r="C23" s="11" t="n">
        <v>30</v>
      </c>
      <c r="D23" s="12" t="n">
        <v>0.0464281</v>
      </c>
      <c r="E23" s="12" t="n">
        <v>0.0463445</v>
      </c>
      <c r="F23" s="12" t="n">
        <v>0.0464609</v>
      </c>
      <c r="G23" s="13" t="n">
        <v>0.33</v>
      </c>
      <c r="H23" s="14" t="inlineStr">
        <is>
          <t>market</t>
        </is>
      </c>
      <c r="I23" s="15">
        <f>MAX($B$8,IF($B$9="",D23,MIN(D23,$B$9)))</f>
        <v/>
      </c>
      <c r="J23" s="15">
        <f>I23+$B$7/10000</f>
        <v/>
      </c>
    </row>
    <row r="24">
      <c r="A24" s="10" t="n">
        <v>46661</v>
      </c>
      <c r="B24" s="10" t="n">
        <v>46692</v>
      </c>
      <c r="C24" s="11" t="n">
        <v>31</v>
      </c>
      <c r="D24" s="12" t="n">
        <v>0.0465874</v>
      </c>
      <c r="E24" s="12" t="n">
        <v>0.04650070000000001</v>
      </c>
      <c r="F24" s="12" t="n">
        <v>0.0466264</v>
      </c>
      <c r="G24" s="13" t="n">
        <v>0.39</v>
      </c>
      <c r="H24" s="14" t="inlineStr">
        <is>
          <t>market</t>
        </is>
      </c>
      <c r="I24" s="15">
        <f>MAX($B$8,IF($B$9="",D24,MIN(D24,$B$9)))</f>
        <v/>
      </c>
      <c r="J24" s="15">
        <f>I24+$B$7/10000</f>
        <v/>
      </c>
    </row>
    <row r="25">
      <c r="A25" s="10" t="n">
        <v>46692</v>
      </c>
      <c r="B25" s="10" t="n">
        <v>46722</v>
      </c>
      <c r="C25" s="11" t="n">
        <v>30</v>
      </c>
      <c r="D25" s="12" t="n">
        <v>0.046571</v>
      </c>
      <c r="E25" s="12" t="n">
        <v>0.0464867</v>
      </c>
      <c r="F25" s="12" t="n">
        <v>0.0466167</v>
      </c>
      <c r="G25" s="13" t="n">
        <v>0.46</v>
      </c>
      <c r="H25" s="14" t="inlineStr">
        <is>
          <t>market</t>
        </is>
      </c>
      <c r="I25" s="15">
        <f>MAX($B$8,IF($B$9="",D25,MIN(D25,$B$9)))</f>
        <v/>
      </c>
      <c r="J25" s="15">
        <f>I25+$B$7/10000</f>
        <v/>
      </c>
    </row>
    <row r="26">
      <c r="A26" s="10" t="n">
        <v>46722</v>
      </c>
      <c r="B26" s="10" t="n">
        <v>46753</v>
      </c>
      <c r="C26" s="11" t="n">
        <v>31</v>
      </c>
      <c r="D26" s="12" t="n">
        <v>0.0464409</v>
      </c>
      <c r="E26" s="12" t="n">
        <v>0.0463542</v>
      </c>
      <c r="F26" s="12" t="n">
        <v>0.046494</v>
      </c>
      <c r="G26" s="13" t="n">
        <v>0.53</v>
      </c>
      <c r="H26" s="14" t="inlineStr">
        <is>
          <t>market</t>
        </is>
      </c>
      <c r="I26" s="15">
        <f>MAX($B$8,IF($B$9="",D26,MIN(D26,$B$9)))</f>
        <v/>
      </c>
      <c r="J26" s="15">
        <f>I26+$B$7/10000</f>
        <v/>
      </c>
    </row>
    <row r="27">
      <c r="A27" s="10" t="n">
        <v>46753</v>
      </c>
      <c r="B27" s="10" t="n">
        <v>46784</v>
      </c>
      <c r="C27" s="11" t="n">
        <v>31</v>
      </c>
      <c r="D27" s="12" t="n">
        <v>0.0463868</v>
      </c>
      <c r="E27" s="12" t="n">
        <v>0.04630049999999999</v>
      </c>
      <c r="F27" s="12" t="n">
        <v>0.0464445</v>
      </c>
      <c r="G27" s="13" t="n">
        <v>0.58</v>
      </c>
      <c r="H27" s="14" t="inlineStr">
        <is>
          <t>market</t>
        </is>
      </c>
      <c r="I27" s="15">
        <f>MAX($B$8,IF($B$9="",D27,MIN(D27,$B$9)))</f>
        <v/>
      </c>
      <c r="J27" s="15">
        <f>I27+$B$7/10000</f>
        <v/>
      </c>
    </row>
    <row r="28">
      <c r="A28" s="10" t="n">
        <v>46784</v>
      </c>
      <c r="B28" s="10" t="n">
        <v>46813</v>
      </c>
      <c r="C28" s="11" t="n">
        <v>29</v>
      </c>
      <c r="D28" s="12" t="n">
        <v>0.0463412</v>
      </c>
      <c r="E28" s="12" t="n">
        <v>0.046261</v>
      </c>
      <c r="F28" s="12" t="n">
        <v>0.0464095</v>
      </c>
      <c r="G28" s="13" t="n">
        <v>0.68</v>
      </c>
      <c r="H28" s="14" t="inlineStr">
        <is>
          <t>market</t>
        </is>
      </c>
      <c r="I28" s="15">
        <f>MAX($B$8,IF($B$9="",D28,MIN(D28,$B$9)))</f>
        <v/>
      </c>
      <c r="J28" s="15">
        <f>I28+$B$7/10000</f>
        <v/>
      </c>
    </row>
    <row r="29">
      <c r="A29" s="10" t="n">
        <v>46813</v>
      </c>
      <c r="B29" s="10" t="n">
        <v>46844</v>
      </c>
      <c r="C29" s="11" t="n">
        <v>31</v>
      </c>
      <c r="D29" s="12" t="n">
        <v>0.0462487</v>
      </c>
      <c r="E29" s="12" t="n">
        <v>0.0461621</v>
      </c>
      <c r="F29" s="12" t="n">
        <v>0.0463248</v>
      </c>
      <c r="G29" s="13" t="n">
        <v>0.76</v>
      </c>
      <c r="H29" s="14" t="inlineStr">
        <is>
          <t>market</t>
        </is>
      </c>
      <c r="I29" s="15">
        <f>MAX($B$8,IF($B$9="",D29,MIN(D29,$B$9)))</f>
        <v/>
      </c>
      <c r="J29" s="15">
        <f>I29+$B$7/10000</f>
        <v/>
      </c>
    </row>
    <row r="30">
      <c r="A30" s="10" t="n">
        <v>46844</v>
      </c>
      <c r="B30" s="10" t="n">
        <v>46874</v>
      </c>
      <c r="C30" s="11" t="n">
        <v>30</v>
      </c>
      <c r="D30" s="12" t="n">
        <v>0.0462202</v>
      </c>
      <c r="E30" s="12" t="n">
        <v>0.0461375</v>
      </c>
      <c r="F30" s="12" t="n">
        <v>0.0463053</v>
      </c>
      <c r="G30" s="13" t="n">
        <v>0.85</v>
      </c>
      <c r="H30" s="14" t="inlineStr">
        <is>
          <t>market</t>
        </is>
      </c>
      <c r="I30" s="15">
        <f>MAX($B$8,IF($B$9="",D30,MIN(D30,$B$9)))</f>
        <v/>
      </c>
      <c r="J30" s="15">
        <f>I30+$B$7/10000</f>
        <v/>
      </c>
    </row>
    <row r="31">
      <c r="A31" s="10" t="n">
        <v>46874</v>
      </c>
      <c r="B31" s="10" t="n">
        <v>46905</v>
      </c>
      <c r="C31" s="11" t="n">
        <v>31</v>
      </c>
      <c r="D31" s="12" t="n">
        <v>0.0461986</v>
      </c>
      <c r="E31" s="12" t="n">
        <v>0.0461127</v>
      </c>
      <c r="F31" s="12" t="n">
        <v>0.0462943</v>
      </c>
      <c r="G31" s="13" t="n">
        <v>0.96</v>
      </c>
      <c r="H31" s="14" t="inlineStr">
        <is>
          <t>market</t>
        </is>
      </c>
      <c r="I31" s="15">
        <f>MAX($B$8,IF($B$9="",D31,MIN(D31,$B$9)))</f>
        <v/>
      </c>
      <c r="J31" s="15">
        <f>I31+$B$7/10000</f>
        <v/>
      </c>
    </row>
    <row r="32">
      <c r="A32" s="10" t="n">
        <v>46905</v>
      </c>
      <c r="B32" s="10" t="n">
        <v>46935</v>
      </c>
      <c r="C32" s="11" t="n">
        <v>30</v>
      </c>
      <c r="D32" s="12" t="n">
        <v>0.046176</v>
      </c>
      <c r="E32" s="12" t="n">
        <v>0.0460932</v>
      </c>
      <c r="F32" s="12" t="n">
        <v>0.0462819</v>
      </c>
      <c r="G32" s="13" t="n">
        <v>1.06</v>
      </c>
      <c r="H32" s="14" t="inlineStr">
        <is>
          <t>market</t>
        </is>
      </c>
      <c r="I32" s="15">
        <f>MAX($B$8,IF($B$9="",D32,MIN(D32,$B$9)))</f>
        <v/>
      </c>
      <c r="J32" s="15">
        <f>I32+$B$7/10000</f>
        <v/>
      </c>
    </row>
    <row r="33">
      <c r="A33" s="10" t="n">
        <v>46935</v>
      </c>
      <c r="B33" s="10" t="n">
        <v>46966</v>
      </c>
      <c r="C33" s="11" t="n">
        <v>31</v>
      </c>
      <c r="D33" s="12" t="n">
        <v>0.0461621</v>
      </c>
      <c r="E33" s="12" t="n">
        <v>0.0460762</v>
      </c>
      <c r="F33" s="12" t="n">
        <v>0.046278</v>
      </c>
      <c r="G33" s="13" t="n">
        <v>1.16</v>
      </c>
      <c r="H33" s="14" t="inlineStr">
        <is>
          <t>market</t>
        </is>
      </c>
      <c r="I33" s="15">
        <f>MAX($B$8,IF($B$9="",D33,MIN(D33,$B$9)))</f>
        <v/>
      </c>
      <c r="J33" s="15">
        <f>I33+$B$7/10000</f>
        <v/>
      </c>
    </row>
    <row r="34">
      <c r="A34" s="10" t="n">
        <v>46966</v>
      </c>
      <c r="B34" s="10" t="n">
        <v>46997</v>
      </c>
      <c r="C34" s="11" t="n">
        <v>31</v>
      </c>
      <c r="D34" s="12" t="n">
        <v>0.04614099999999999</v>
      </c>
      <c r="E34" s="12" t="n">
        <v>0.0460548</v>
      </c>
      <c r="F34" s="12" t="n">
        <v>0.0462687</v>
      </c>
      <c r="G34" s="13" t="n">
        <v>1.28</v>
      </c>
      <c r="H34" s="14" t="inlineStr">
        <is>
          <t>market</t>
        </is>
      </c>
      <c r="I34" s="15">
        <f>MAX($B$8,IF($B$9="",D34,MIN(D34,$B$9)))</f>
        <v/>
      </c>
      <c r="J34" s="15">
        <f>I34+$B$7/10000</f>
        <v/>
      </c>
    </row>
    <row r="35">
      <c r="A35" s="10" t="n">
        <v>46997</v>
      </c>
      <c r="B35" s="10" t="n">
        <v>47027</v>
      </c>
      <c r="C35" s="11" t="n">
        <v>30</v>
      </c>
      <c r="D35" s="12" t="n">
        <v>0.0461128</v>
      </c>
      <c r="E35" s="12" t="n">
        <v>0.0460305</v>
      </c>
      <c r="F35" s="12" t="n">
        <v>0.046252</v>
      </c>
      <c r="G35" s="13" t="n">
        <v>1.39</v>
      </c>
      <c r="H35" s="14" t="inlineStr">
        <is>
          <t>market</t>
        </is>
      </c>
      <c r="I35" s="15">
        <f>MAX($B$8,IF($B$9="",D35,MIN(D35,$B$9)))</f>
        <v/>
      </c>
      <c r="J35" s="15">
        <f>I35+$B$7/10000</f>
        <v/>
      </c>
    </row>
    <row r="36">
      <c r="A36" s="10" t="n">
        <v>47027</v>
      </c>
      <c r="B36" s="10" t="n">
        <v>47058</v>
      </c>
      <c r="C36" s="11" t="n">
        <v>31</v>
      </c>
      <c r="D36" s="12" t="n">
        <v>0.0460874</v>
      </c>
      <c r="E36" s="12" t="n">
        <v>0.046002</v>
      </c>
      <c r="F36" s="12" t="n">
        <v>0.0462383</v>
      </c>
      <c r="G36" s="13" t="n">
        <v>1.51</v>
      </c>
      <c r="H36" s="14" t="inlineStr">
        <is>
          <t>market</t>
        </is>
      </c>
      <c r="I36" s="15">
        <f>MAX($B$8,IF($B$9="",D36,MIN(D36,$B$9)))</f>
        <v/>
      </c>
      <c r="J36" s="15">
        <f>I36+$B$7/10000</f>
        <v/>
      </c>
    </row>
    <row r="37">
      <c r="A37" s="10" t="n">
        <v>47058</v>
      </c>
      <c r="B37" s="10" t="n">
        <v>47088</v>
      </c>
      <c r="C37" s="11" t="n">
        <v>30</v>
      </c>
      <c r="D37" s="12" t="n">
        <v>0.0460489</v>
      </c>
      <c r="E37" s="12" t="n">
        <v>0.0459662</v>
      </c>
      <c r="F37" s="12" t="n">
        <v>0.0462127</v>
      </c>
      <c r="G37" s="13" t="n">
        <v>1.64</v>
      </c>
      <c r="H37" s="14" t="inlineStr">
        <is>
          <t>market</t>
        </is>
      </c>
      <c r="I37" s="15">
        <f>MAX($B$8,IF($B$9="",D37,MIN(D37,$B$9)))</f>
        <v/>
      </c>
      <c r="J37" s="15">
        <f>I37+$B$7/10000</f>
        <v/>
      </c>
    </row>
    <row r="38">
      <c r="A38" s="10" t="n">
        <v>47088</v>
      </c>
      <c r="B38" s="10" t="n">
        <v>47119</v>
      </c>
      <c r="C38" s="11" t="n">
        <v>31</v>
      </c>
      <c r="D38" s="12" t="n">
        <v>0.0460095</v>
      </c>
      <c r="E38" s="12" t="n">
        <v>0.0459249</v>
      </c>
      <c r="F38" s="12" t="n">
        <v>0.04618629999999999</v>
      </c>
      <c r="G38" s="13" t="n">
        <v>1.77</v>
      </c>
      <c r="H38" s="14" t="inlineStr">
        <is>
          <t>market</t>
        </is>
      </c>
      <c r="I38" s="15">
        <f>MAX($B$8,IF($B$9="",D38,MIN(D38,$B$9)))</f>
        <v/>
      </c>
      <c r="J38" s="15">
        <f>I38+$B$7/10000</f>
        <v/>
      </c>
    </row>
    <row r="39">
      <c r="A39" s="10" t="n">
        <v>47119</v>
      </c>
      <c r="B39" s="10" t="n">
        <v>47150</v>
      </c>
      <c r="C39" s="11" t="n">
        <v>31</v>
      </c>
      <c r="D39" s="12" t="n">
        <v>0.0459621</v>
      </c>
      <c r="E39" s="12" t="n">
        <v>0.0458771</v>
      </c>
      <c r="F39" s="12" t="n">
        <v>0.0461519</v>
      </c>
      <c r="G39" s="13" t="n">
        <v>1.9</v>
      </c>
      <c r="H39" s="14" t="inlineStr">
        <is>
          <t>market</t>
        </is>
      </c>
      <c r="I39" s="15">
        <f>MAX($B$8,IF($B$9="",D39,MIN(D39,$B$9)))</f>
        <v/>
      </c>
      <c r="J39" s="15">
        <f>I39+$B$7/10000</f>
        <v/>
      </c>
    </row>
    <row r="40">
      <c r="A40" s="10" t="n">
        <v>47150</v>
      </c>
      <c r="B40" s="10" t="n">
        <v>47178</v>
      </c>
      <c r="C40" s="11" t="n">
        <v>28</v>
      </c>
      <c r="D40" s="12" t="n">
        <v>0.0458931</v>
      </c>
      <c r="E40" s="12" t="n">
        <v>0.0458174</v>
      </c>
      <c r="F40" s="12" t="n">
        <v>0.046097</v>
      </c>
      <c r="G40" s="13" t="n">
        <v>2.04</v>
      </c>
      <c r="H40" s="14" t="inlineStr">
        <is>
          <t>market</t>
        </is>
      </c>
      <c r="I40" s="15">
        <f>MAX($B$8,IF($B$9="",D40,MIN(D40,$B$9)))</f>
        <v/>
      </c>
      <c r="J40" s="15">
        <f>I40+$B$7/10000</f>
        <v/>
      </c>
    </row>
    <row r="41">
      <c r="A41" s="10" t="n">
        <v>47178</v>
      </c>
      <c r="B41" s="10" t="n">
        <v>47209</v>
      </c>
      <c r="C41" s="11" t="n">
        <v>31</v>
      </c>
      <c r="D41" s="12" t="n">
        <v>0.0458371</v>
      </c>
      <c r="E41" s="12" t="n">
        <v>0.04575249999999999</v>
      </c>
      <c r="F41" s="12" t="n">
        <v>0.0460552</v>
      </c>
      <c r="G41" s="13" t="n">
        <v>2.18</v>
      </c>
      <c r="H41" s="14" t="inlineStr">
        <is>
          <t>market</t>
        </is>
      </c>
      <c r="I41" s="15">
        <f>MAX($B$8,IF($B$9="",D41,MIN(D41,$B$9)))</f>
        <v/>
      </c>
      <c r="J41" s="15">
        <f>I41+$B$7/10000</f>
        <v/>
      </c>
    </row>
    <row r="42">
      <c r="A42" s="10" t="n">
        <v>47209</v>
      </c>
      <c r="B42" s="10" t="n">
        <v>47239</v>
      </c>
      <c r="C42" s="11" t="n">
        <v>30</v>
      </c>
      <c r="D42" s="12" t="n">
        <v>0.0457698</v>
      </c>
      <c r="E42" s="12" t="n">
        <v>0.04568800000000001</v>
      </c>
      <c r="F42" s="12" t="n">
        <v>0.0460021</v>
      </c>
      <c r="G42" s="13" t="n">
        <v>2.32</v>
      </c>
      <c r="H42" s="14" t="inlineStr">
        <is>
          <t>market</t>
        </is>
      </c>
      <c r="I42" s="15">
        <f>MAX($B$8,IF($B$9="",D42,MIN(D42,$B$9)))</f>
        <v/>
      </c>
      <c r="J42" s="15">
        <f>I42+$B$7/10000</f>
        <v/>
      </c>
    </row>
    <row r="43">
      <c r="A43" s="10" t="n">
        <v>47239</v>
      </c>
      <c r="B43" s="10" t="n">
        <v>47270</v>
      </c>
      <c r="C43" s="11" t="n">
        <v>31</v>
      </c>
      <c r="D43" s="12" t="n">
        <v>0.0457069</v>
      </c>
      <c r="E43" s="12" t="n">
        <v>0.0456229</v>
      </c>
      <c r="F43" s="12" t="n">
        <v>0.0459549</v>
      </c>
      <c r="G43" s="13" t="n">
        <v>2.48</v>
      </c>
      <c r="H43" s="14" t="inlineStr">
        <is>
          <t>market</t>
        </is>
      </c>
      <c r="I43" s="15">
        <f>MAX($B$8,IF($B$9="",D43,MIN(D43,$B$9)))</f>
        <v/>
      </c>
      <c r="J43" s="15">
        <f>I43+$B$7/10000</f>
        <v/>
      </c>
    </row>
    <row r="44">
      <c r="A44" s="10" t="n">
        <v>47270</v>
      </c>
      <c r="B44" s="10" t="n">
        <v>47300</v>
      </c>
      <c r="C44" s="11" t="n">
        <v>30</v>
      </c>
      <c r="D44" s="12" t="n">
        <v>0.0456487</v>
      </c>
      <c r="E44" s="12" t="n">
        <v>0.0455676</v>
      </c>
      <c r="F44" s="12" t="n">
        <v>0.0459126</v>
      </c>
      <c r="G44" s="13" t="n">
        <v>2.64</v>
      </c>
      <c r="H44" s="14" t="inlineStr">
        <is>
          <t>market</t>
        </is>
      </c>
      <c r="I44" s="15">
        <f>MAX($B$8,IF($B$9="",D44,MIN(D44,$B$9)))</f>
        <v/>
      </c>
      <c r="J44" s="15">
        <f>I44+$B$7/10000</f>
        <v/>
      </c>
    </row>
    <row r="45">
      <c r="A45" s="10" t="n">
        <v>47300</v>
      </c>
      <c r="B45" s="10" t="n">
        <v>47331</v>
      </c>
      <c r="C45" s="11" t="n">
        <v>31</v>
      </c>
      <c r="D45" s="12" t="n">
        <v>0.0456071</v>
      </c>
      <c r="E45" s="12" t="n">
        <v>0.0455231</v>
      </c>
      <c r="F45" s="12" t="n">
        <v>0.04588689999999999</v>
      </c>
      <c r="G45" s="13" t="n">
        <v>2.8</v>
      </c>
      <c r="H45" s="14" t="inlineStr">
        <is>
          <t>market</t>
        </is>
      </c>
      <c r="I45" s="15">
        <f>MAX($B$8,IF($B$9="",D45,MIN(D45,$B$9)))</f>
        <v/>
      </c>
      <c r="J45" s="15">
        <f>I45+$B$7/10000</f>
        <v/>
      </c>
    </row>
    <row r="46">
      <c r="A46" s="10" t="n">
        <v>47331</v>
      </c>
      <c r="B46" s="10" t="n">
        <v>47362</v>
      </c>
      <c r="C46" s="11" t="n">
        <v>31</v>
      </c>
      <c r="D46" s="12" t="n">
        <v>0.04556809999999999</v>
      </c>
      <c r="E46" s="12" t="n">
        <v>0.0454841</v>
      </c>
      <c r="F46" s="12" t="n">
        <v>0.0458652</v>
      </c>
      <c r="G46" s="13" t="n">
        <v>2.97</v>
      </c>
      <c r="H46" s="14" t="inlineStr">
        <is>
          <t>market</t>
        </is>
      </c>
      <c r="I46" s="15">
        <f>MAX($B$8,IF($B$9="",D46,MIN(D46,$B$9)))</f>
        <v/>
      </c>
      <c r="J46" s="15">
        <f>I46+$B$7/10000</f>
        <v/>
      </c>
    </row>
    <row r="47">
      <c r="A47" s="10" t="n">
        <v>47362</v>
      </c>
      <c r="B47" s="10" t="n">
        <v>47392</v>
      </c>
      <c r="C47" s="11" t="n">
        <v>30</v>
      </c>
      <c r="D47" s="12" t="n">
        <v>0.04553550000000001</v>
      </c>
      <c r="E47" s="12" t="n">
        <v>0.045455</v>
      </c>
      <c r="F47" s="12" t="n">
        <v>0.0458478</v>
      </c>
      <c r="G47" s="13" t="n">
        <v>3.12</v>
      </c>
      <c r="H47" s="14" t="inlineStr">
        <is>
          <t>market</t>
        </is>
      </c>
      <c r="I47" s="15">
        <f>MAX($B$8,IF($B$9="",D47,MIN(D47,$B$9)))</f>
        <v/>
      </c>
      <c r="J47" s="15">
        <f>I47+$B$7/10000</f>
        <v/>
      </c>
    </row>
    <row r="48">
      <c r="A48" s="10" t="n">
        <v>47392</v>
      </c>
      <c r="B48" s="10" t="n">
        <v>47423</v>
      </c>
      <c r="C48" s="11" t="n">
        <v>31</v>
      </c>
      <c r="D48" s="12" t="n">
        <v>0.0455023</v>
      </c>
      <c r="E48" s="12" t="n">
        <v>0.0454191</v>
      </c>
      <c r="F48" s="12" t="n">
        <v>0.0458336</v>
      </c>
      <c r="G48" s="13" t="n">
        <v>3.31</v>
      </c>
      <c r="H48" s="14" t="inlineStr">
        <is>
          <t>market</t>
        </is>
      </c>
      <c r="I48" s="15">
        <f>MAX($B$8,IF($B$9="",D48,MIN(D48,$B$9)))</f>
        <v/>
      </c>
      <c r="J48" s="15">
        <f>I48+$B$7/10000</f>
        <v/>
      </c>
    </row>
    <row r="49">
      <c r="A49" s="10" t="n">
        <v>47423</v>
      </c>
      <c r="B49" s="10" t="n">
        <v>47453</v>
      </c>
      <c r="C49" s="11" t="n">
        <v>30</v>
      </c>
      <c r="D49" s="12" t="n">
        <v>0.0454613</v>
      </c>
      <c r="E49" s="12" t="n">
        <v>0.0453813</v>
      </c>
      <c r="F49" s="12" t="n">
        <v>0.0458103</v>
      </c>
      <c r="G49" s="13" t="n">
        <v>3.49</v>
      </c>
      <c r="H49" s="14" t="inlineStr">
        <is>
          <t>market</t>
        </is>
      </c>
      <c r="I49" s="15">
        <f>MAX($B$8,IF($B$9="",D49,MIN(D49,$B$9)))</f>
        <v/>
      </c>
      <c r="J49" s="15">
        <f>I49+$B$7/10000</f>
        <v/>
      </c>
    </row>
    <row r="50">
      <c r="A50" s="10" t="n">
        <v>47453</v>
      </c>
      <c r="B50" s="10" t="n">
        <v>47484</v>
      </c>
      <c r="C50" s="11" t="n">
        <v>31</v>
      </c>
      <c r="D50" s="12" t="n">
        <v>0.0454266</v>
      </c>
      <c r="E50" s="12" t="n">
        <v>0.04534340000000001</v>
      </c>
      <c r="F50" s="12" t="n">
        <v>0.0457926</v>
      </c>
      <c r="G50" s="13" t="n">
        <v>3.66</v>
      </c>
      <c r="H50" s="14" t="inlineStr">
        <is>
          <t>market</t>
        </is>
      </c>
      <c r="I50" s="15">
        <f>MAX($B$8,IF($B$9="",D50,MIN(D50,$B$9)))</f>
        <v/>
      </c>
      <c r="J50" s="15">
        <f>I50+$B$7/10000</f>
        <v/>
      </c>
    </row>
    <row r="51">
      <c r="A51" s="10" t="n">
        <v>47484</v>
      </c>
      <c r="B51" s="10" t="n">
        <v>47515</v>
      </c>
      <c r="C51" s="11" t="n">
        <v>31</v>
      </c>
      <c r="D51" s="12" t="n">
        <v>0.0453907</v>
      </c>
      <c r="E51" s="12" t="n">
        <v>0.0453078</v>
      </c>
      <c r="F51" s="12" t="n">
        <v>0.04577580000000001</v>
      </c>
      <c r="G51" s="13" t="n">
        <v>3.85</v>
      </c>
      <c r="H51" s="14" t="inlineStr">
        <is>
          <t>market</t>
        </is>
      </c>
      <c r="I51" s="15">
        <f>MAX($B$8,IF($B$9="",D51,MIN(D51,$B$9)))</f>
        <v/>
      </c>
      <c r="J51" s="15">
        <f>I51+$B$7/10000</f>
        <v/>
      </c>
    </row>
    <row r="52">
      <c r="A52" s="10" t="n">
        <v>47515</v>
      </c>
      <c r="B52" s="10" t="n">
        <v>47543</v>
      </c>
      <c r="C52" s="11" t="n">
        <v>28</v>
      </c>
      <c r="D52" s="12" t="n">
        <v>0.0453614</v>
      </c>
      <c r="E52" s="12" t="n">
        <v>0.0452874</v>
      </c>
      <c r="F52" s="12" t="n">
        <v>0.04576590000000001</v>
      </c>
      <c r="G52" s="13" t="n">
        <v>4.05</v>
      </c>
      <c r="H52" s="14" t="inlineStr">
        <is>
          <t>market</t>
        </is>
      </c>
      <c r="I52" s="15">
        <f>MAX($B$8,IF($B$9="",D52,MIN(D52,$B$9)))</f>
        <v/>
      </c>
      <c r="J52" s="15">
        <f>I52+$B$7/10000</f>
        <v/>
      </c>
    </row>
    <row r="53">
      <c r="A53" s="10" t="n">
        <v>47543</v>
      </c>
      <c r="B53" s="10" t="n">
        <v>47574</v>
      </c>
      <c r="C53" s="11" t="n">
        <v>31</v>
      </c>
      <c r="D53" s="12" t="n">
        <v>0.0453655</v>
      </c>
      <c r="E53" s="12" t="n">
        <v>0.0452827</v>
      </c>
      <c r="F53" s="12" t="n">
        <v>0.0457895</v>
      </c>
      <c r="G53" s="13" t="n">
        <v>4.24</v>
      </c>
      <c r="H53" s="14" t="inlineStr">
        <is>
          <t>market</t>
        </is>
      </c>
      <c r="I53" s="15">
        <f>MAX($B$8,IF($B$9="",D53,MIN(D53,$B$9)))</f>
        <v/>
      </c>
      <c r="J53" s="15">
        <f>I53+$B$7/10000</f>
        <v/>
      </c>
    </row>
    <row r="54">
      <c r="A54" s="10" t="n">
        <v>47574</v>
      </c>
      <c r="B54" s="10" t="n">
        <v>47604</v>
      </c>
      <c r="C54" s="11" t="n">
        <v>30</v>
      </c>
      <c r="D54" s="12" t="n">
        <v>0.0453639</v>
      </c>
      <c r="E54" s="12" t="n">
        <v>0.0452841</v>
      </c>
      <c r="F54" s="12" t="n">
        <v>0.0458076</v>
      </c>
      <c r="G54" s="13" t="n">
        <v>4.44</v>
      </c>
      <c r="H54" s="14" t="inlineStr">
        <is>
          <t>market</t>
        </is>
      </c>
      <c r="I54" s="15">
        <f>MAX($B$8,IF($B$9="",D54,MIN(D54,$B$9)))</f>
        <v/>
      </c>
      <c r="J54" s="15">
        <f>I54+$B$7/10000</f>
        <v/>
      </c>
    </row>
    <row r="55">
      <c r="A55" s="10" t="n">
        <v>47604</v>
      </c>
      <c r="B55" s="10" t="n">
        <v>47635</v>
      </c>
      <c r="C55" s="11" t="n">
        <v>31</v>
      </c>
      <c r="D55" s="12" t="n">
        <v>0.045364</v>
      </c>
      <c r="E55" s="12" t="n">
        <v>0.0452812</v>
      </c>
      <c r="F55" s="12" t="n">
        <v>0.045828</v>
      </c>
      <c r="G55" s="13" t="n">
        <v>4.64</v>
      </c>
      <c r="H55" s="14" t="inlineStr">
        <is>
          <t>market</t>
        </is>
      </c>
      <c r="I55" s="15">
        <f>MAX($B$8,IF($B$9="",D55,MIN(D55,$B$9)))</f>
        <v/>
      </c>
      <c r="J55" s="15">
        <f>I55+$B$7/10000</f>
        <v/>
      </c>
    </row>
    <row r="56">
      <c r="A56" s="10" t="n">
        <v>47635</v>
      </c>
      <c r="B56" s="10" t="n">
        <v>47665</v>
      </c>
      <c r="C56" s="11" t="n">
        <v>30</v>
      </c>
      <c r="D56" s="12" t="n">
        <v>0.0453536</v>
      </c>
      <c r="E56" s="12" t="n">
        <v>0.0452736</v>
      </c>
      <c r="F56" s="12" t="n">
        <v>0.0458369</v>
      </c>
      <c r="G56" s="13" t="n">
        <v>4.83</v>
      </c>
      <c r="H56" s="14" t="inlineStr">
        <is>
          <t>market</t>
        </is>
      </c>
      <c r="I56" s="15">
        <f>MAX($B$8,IF($B$9="",D56,MIN(D56,$B$9)))</f>
        <v/>
      </c>
      <c r="J56" s="15">
        <f>I56+$B$7/10000</f>
        <v/>
      </c>
    </row>
    <row r="57">
      <c r="A57" s="10" t="n">
        <v>47665</v>
      </c>
      <c r="B57" s="10" t="n">
        <v>47696</v>
      </c>
      <c r="C57" s="11" t="n">
        <v>31</v>
      </c>
      <c r="D57" s="12" t="n">
        <v>0.0453519</v>
      </c>
      <c r="E57" s="12" t="n">
        <v>0.0452688</v>
      </c>
      <c r="F57" s="12" t="n">
        <v>0.0458578</v>
      </c>
      <c r="G57" s="13" t="n">
        <v>5.06</v>
      </c>
      <c r="H57" s="14" t="inlineStr">
        <is>
          <t>market</t>
        </is>
      </c>
      <c r="I57" s="15">
        <f>MAX($B$8,IF($B$9="",D57,MIN(D57,$B$9)))</f>
        <v/>
      </c>
      <c r="J57" s="15">
        <f>I57+$B$7/10000</f>
        <v/>
      </c>
    </row>
    <row r="58">
      <c r="A58" s="10" t="n">
        <v>47696</v>
      </c>
      <c r="B58" s="10" t="n">
        <v>47727</v>
      </c>
      <c r="C58" s="11" t="n">
        <v>31</v>
      </c>
      <c r="D58" s="12" t="n">
        <v>0.0453621</v>
      </c>
      <c r="E58" s="12" t="n">
        <v>0.0452789</v>
      </c>
      <c r="F58" s="12" t="n">
        <v>0.0458894</v>
      </c>
      <c r="G58" s="13" t="n">
        <v>5.27</v>
      </c>
      <c r="H58" s="14" t="inlineStr">
        <is>
          <t>market</t>
        </is>
      </c>
      <c r="I58" s="15">
        <f>MAX($B$8,IF($B$9="",D58,MIN(D58,$B$9)))</f>
        <v/>
      </c>
      <c r="J58" s="15">
        <f>I58+$B$7/10000</f>
        <v/>
      </c>
    </row>
    <row r="59">
      <c r="A59" s="10" t="n">
        <v>47727</v>
      </c>
      <c r="B59" s="10" t="n">
        <v>47757</v>
      </c>
      <c r="C59" s="11" t="n">
        <v>30</v>
      </c>
      <c r="D59" s="12" t="n">
        <v>0.0453832</v>
      </c>
      <c r="E59" s="12" t="n">
        <v>0.0453029</v>
      </c>
      <c r="F59" s="12" t="n">
        <v>0.04593079999999999</v>
      </c>
      <c r="G59" s="13" t="n">
        <v>5.48</v>
      </c>
      <c r="H59" s="14" t="inlineStr">
        <is>
          <t>market</t>
        </is>
      </c>
      <c r="I59" s="15">
        <f>MAX($B$8,IF($B$9="",D59,MIN(D59,$B$9)))</f>
        <v/>
      </c>
      <c r="J59" s="15">
        <f>I59+$B$7/10000</f>
        <v/>
      </c>
    </row>
    <row r="60">
      <c r="A60" s="10" t="n">
        <v>47757</v>
      </c>
      <c r="B60" s="10" t="n">
        <v>47788</v>
      </c>
      <c r="C60" s="11" t="n">
        <v>31</v>
      </c>
      <c r="D60" s="12" t="n">
        <v>0.0454199</v>
      </c>
      <c r="E60" s="12" t="n">
        <v>0.0453369</v>
      </c>
      <c r="F60" s="12" t="n">
        <v>0.0459913</v>
      </c>
      <c r="G60" s="13" t="n">
        <v>5.71</v>
      </c>
      <c r="H60" s="14" t="inlineStr">
        <is>
          <t>market</t>
        </is>
      </c>
      <c r="I60" s="15">
        <f>MAX($B$8,IF($B$9="",D60,MIN(D60,$B$9)))</f>
        <v/>
      </c>
      <c r="J60" s="15">
        <f>I60+$B$7/10000</f>
        <v/>
      </c>
    </row>
    <row r="61">
      <c r="A61" s="10" t="n">
        <v>47788</v>
      </c>
      <c r="B61" s="10" t="n">
        <v>47818</v>
      </c>
      <c r="C61" s="11" t="n">
        <v>30</v>
      </c>
      <c r="D61" s="12" t="n">
        <v>0.0454455</v>
      </c>
      <c r="E61" s="12" t="n">
        <v>0.0453657</v>
      </c>
      <c r="F61" s="12" t="n">
        <v>0.0460397</v>
      </c>
      <c r="G61" s="13" t="n">
        <v>5.94</v>
      </c>
      <c r="H61" s="14" t="inlineStr">
        <is>
          <t>market</t>
        </is>
      </c>
      <c r="I61" s="15">
        <f>MAX($B$8,IF($B$9="",D61,MIN(D61,$B$9)))</f>
        <v/>
      </c>
      <c r="J61" s="15">
        <f>I61+$B$7/10000</f>
        <v/>
      </c>
    </row>
    <row r="62">
      <c r="A62" s="10" t="n">
        <v>47818</v>
      </c>
      <c r="B62" s="10" t="n">
        <v>47849</v>
      </c>
      <c r="C62" s="11" t="n">
        <v>31</v>
      </c>
      <c r="D62" s="12" t="n">
        <v>0.0454725</v>
      </c>
      <c r="E62" s="12" t="n">
        <v>0.045389</v>
      </c>
      <c r="F62" s="12" t="n">
        <v>0.0460897</v>
      </c>
      <c r="G62" s="13" t="n">
        <v>6.17</v>
      </c>
      <c r="H62" s="14" t="inlineStr">
        <is>
          <t>market</t>
        </is>
      </c>
      <c r="I62" s="15">
        <f>MAX($B$8,IF($B$9="",D62,MIN(D62,$B$9)))</f>
        <v/>
      </c>
      <c r="J62" s="15">
        <f>I62+$B$7/10000</f>
        <v/>
      </c>
    </row>
    <row r="63">
      <c r="A63" s="10" t="n">
        <v>47849</v>
      </c>
      <c r="B63" s="10" t="n">
        <v>47880</v>
      </c>
      <c r="C63" s="11" t="n">
        <v>31</v>
      </c>
      <c r="D63" s="12" t="n">
        <v>0.04549839999999999</v>
      </c>
      <c r="E63" s="12" t="n">
        <v>0.0454152</v>
      </c>
      <c r="F63" s="12" t="n">
        <v>0.0461393</v>
      </c>
      <c r="G63" s="13" t="n">
        <v>6.41</v>
      </c>
      <c r="H63" s="14" t="inlineStr">
        <is>
          <t>market</t>
        </is>
      </c>
      <c r="I63" s="15">
        <f>MAX($B$8,IF($B$9="",D63,MIN(D63,$B$9)))</f>
        <v/>
      </c>
      <c r="J63" s="15">
        <f>I63+$B$7/10000</f>
        <v/>
      </c>
    </row>
    <row r="64">
      <c r="A64" s="10" t="n">
        <v>47880</v>
      </c>
      <c r="B64" s="10" t="n">
        <v>47908</v>
      </c>
      <c r="C64" s="11" t="n">
        <v>28</v>
      </c>
      <c r="D64" s="12" t="n">
        <v>0.0455255</v>
      </c>
      <c r="E64" s="12" t="n">
        <v>0.0454506</v>
      </c>
      <c r="F64" s="12" t="n">
        <v>0.0461888</v>
      </c>
      <c r="G64" s="13" t="n">
        <v>6.63</v>
      </c>
      <c r="H64" s="14" t="inlineStr">
        <is>
          <t>market</t>
        </is>
      </c>
      <c r="I64" s="15">
        <f>MAX($B$8,IF($B$9="",D64,MIN(D64,$B$9)))</f>
        <v/>
      </c>
      <c r="J64" s="15">
        <f>I64+$B$7/10000</f>
        <v/>
      </c>
    </row>
    <row r="65">
      <c r="A65" s="10" t="n">
        <v>47908</v>
      </c>
      <c r="B65" s="10" t="n">
        <v>47939</v>
      </c>
      <c r="C65" s="11" t="n">
        <v>31</v>
      </c>
      <c r="D65" s="12" t="n">
        <v>0.0455853</v>
      </c>
      <c r="E65" s="12" t="n">
        <v>0.0455013</v>
      </c>
      <c r="F65" s="12" t="n">
        <v>0.0462725</v>
      </c>
      <c r="G65" s="13" t="n">
        <v>6.87</v>
      </c>
      <c r="H65" s="14" t="inlineStr">
        <is>
          <t>market</t>
        </is>
      </c>
      <c r="I65" s="15">
        <f>MAX($B$8,IF($B$9="",D65,MIN(D65,$B$9)))</f>
        <v/>
      </c>
      <c r="J65" s="15">
        <f>I65+$B$7/10000</f>
        <v/>
      </c>
    </row>
    <row r="66">
      <c r="A66" s="10" t="n">
        <v>47939</v>
      </c>
      <c r="B66" s="10" t="n">
        <v>47969</v>
      </c>
      <c r="C66" s="11" t="n">
        <v>30</v>
      </c>
      <c r="D66" s="12" t="n">
        <v>0.0456489</v>
      </c>
      <c r="E66" s="12" t="n">
        <v>0.04556809999999999</v>
      </c>
      <c r="F66" s="12" t="n">
        <v>0.0463612</v>
      </c>
      <c r="G66" s="13" t="n">
        <v>7.12</v>
      </c>
      <c r="H66" s="14" t="inlineStr">
        <is>
          <t>market</t>
        </is>
      </c>
      <c r="I66" s="15">
        <f>MAX($B$8,IF($B$9="",D66,MIN(D66,$B$9)))</f>
        <v/>
      </c>
      <c r="J66" s="15">
        <f>I66+$B$7/10000</f>
        <v/>
      </c>
    </row>
    <row r="67">
      <c r="A67" s="10" t="n">
        <v>47969</v>
      </c>
      <c r="B67" s="10" t="n">
        <v>48000</v>
      </c>
      <c r="C67" s="11" t="n">
        <v>31</v>
      </c>
      <c r="D67" s="12" t="n">
        <v>0.045723</v>
      </c>
      <c r="E67" s="12" t="n">
        <v>0.0456391</v>
      </c>
      <c r="F67" s="12" t="n">
        <v>0.0464597</v>
      </c>
      <c r="G67" s="13" t="n">
        <v>7.37</v>
      </c>
      <c r="H67" s="14" t="inlineStr">
        <is>
          <t>market</t>
        </is>
      </c>
      <c r="I67" s="15">
        <f>MAX($B$8,IF($B$9="",D67,MIN(D67,$B$9)))</f>
        <v/>
      </c>
      <c r="J67" s="15">
        <f>I67+$B$7/10000</f>
        <v/>
      </c>
    </row>
    <row r="68">
      <c r="A68" s="10" t="n">
        <v>48000</v>
      </c>
      <c r="B68" s="10" t="n">
        <v>48030</v>
      </c>
      <c r="C68" s="11" t="n">
        <v>30</v>
      </c>
      <c r="D68" s="12" t="n">
        <v>0.0457933</v>
      </c>
      <c r="E68" s="12" t="n">
        <v>0.0457115</v>
      </c>
      <c r="F68" s="12" t="n">
        <v>0.0465543</v>
      </c>
      <c r="G68" s="13" t="n">
        <v>7.61</v>
      </c>
      <c r="H68" s="14" t="inlineStr">
        <is>
          <t>market</t>
        </is>
      </c>
      <c r="I68" s="15">
        <f>MAX($B$8,IF($B$9="",D68,MIN(D68,$B$9)))</f>
        <v/>
      </c>
      <c r="J68" s="15">
        <f>I68+$B$7/10000</f>
        <v/>
      </c>
    </row>
    <row r="69">
      <c r="A69" s="10" t="n">
        <v>48030</v>
      </c>
      <c r="B69" s="10" t="n">
        <v>48061</v>
      </c>
      <c r="C69" s="11" t="n">
        <v>31</v>
      </c>
      <c r="D69" s="12" t="n">
        <v>0.0458749</v>
      </c>
      <c r="E69" s="12" t="n">
        <v>0.04579030000000001</v>
      </c>
      <c r="F69" s="12" t="n">
        <v>0.0466627</v>
      </c>
      <c r="G69" s="13" t="n">
        <v>7.88</v>
      </c>
      <c r="H69" s="14" t="inlineStr">
        <is>
          <t>market</t>
        </is>
      </c>
      <c r="I69" s="15">
        <f>MAX($B$8,IF($B$9="",D69,MIN(D69,$B$9)))</f>
        <v/>
      </c>
      <c r="J69" s="15">
        <f>I69+$B$7/10000</f>
        <v/>
      </c>
    </row>
    <row r="70">
      <c r="A70" s="10" t="n">
        <v>48061</v>
      </c>
      <c r="B70" s="10" t="n">
        <v>48092</v>
      </c>
      <c r="C70" s="11" t="n">
        <v>31</v>
      </c>
      <c r="D70" s="12" t="n">
        <v>0.0459509</v>
      </c>
      <c r="E70" s="12" t="n">
        <v>0.0458659</v>
      </c>
      <c r="F70" s="12" t="n">
        <v>0.0467648</v>
      </c>
      <c r="G70" s="13" t="n">
        <v>8.140000000000001</v>
      </c>
      <c r="H70" s="14" t="inlineStr">
        <is>
          <t>market</t>
        </is>
      </c>
      <c r="I70" s="15">
        <f>MAX($B$8,IF($B$9="",D70,MIN(D70,$B$9)))</f>
        <v/>
      </c>
      <c r="J70" s="15">
        <f>I70+$B$7/10000</f>
        <v/>
      </c>
    </row>
    <row r="71">
      <c r="A71" s="10" t="n">
        <v>48092</v>
      </c>
      <c r="B71" s="10" t="n">
        <v>48122</v>
      </c>
      <c r="C71" s="11" t="n">
        <v>30</v>
      </c>
      <c r="D71" s="12" t="n">
        <v>0.0460203</v>
      </c>
      <c r="E71" s="12" t="n">
        <v>0.0459376</v>
      </c>
      <c r="F71" s="12" t="n">
        <v>0.0468598</v>
      </c>
      <c r="G71" s="13" t="n">
        <v>8.4</v>
      </c>
      <c r="H71" s="14" t="inlineStr">
        <is>
          <t>market</t>
        </is>
      </c>
      <c r="I71" s="15">
        <f>MAX($B$8,IF($B$9="",D71,MIN(D71,$B$9)))</f>
        <v/>
      </c>
      <c r="J71" s="15">
        <f>I71+$B$7/10000</f>
        <v/>
      </c>
    </row>
    <row r="72">
      <c r="A72" s="10" t="n">
        <v>48122</v>
      </c>
      <c r="B72" s="10" t="n">
        <v>48153</v>
      </c>
      <c r="C72" s="11" t="n">
        <v>31</v>
      </c>
      <c r="D72" s="12" t="n">
        <v>0.046098</v>
      </c>
      <c r="E72" s="12" t="n">
        <v>0.0460125</v>
      </c>
      <c r="F72" s="12" t="n">
        <v>0.0469653</v>
      </c>
      <c r="G72" s="13" t="n">
        <v>8.67</v>
      </c>
      <c r="H72" s="14" t="inlineStr">
        <is>
          <t>market</t>
        </is>
      </c>
      <c r="I72" s="15">
        <f>MAX($B$8,IF($B$9="",D72,MIN(D72,$B$9)))</f>
        <v/>
      </c>
      <c r="J72" s="15">
        <f>I72+$B$7/10000</f>
        <v/>
      </c>
    </row>
    <row r="73">
      <c r="A73" s="10" t="n">
        <v>48153</v>
      </c>
      <c r="B73" s="10" t="n">
        <v>48183</v>
      </c>
      <c r="C73" s="11" t="n">
        <v>30</v>
      </c>
      <c r="D73" s="12" t="n">
        <v>0.0461619</v>
      </c>
      <c r="E73" s="12" t="n">
        <v>0.0460793</v>
      </c>
      <c r="F73" s="12" t="n">
        <v>0.0470545</v>
      </c>
      <c r="G73" s="13" t="n">
        <v>8.93</v>
      </c>
      <c r="H73" s="14" t="inlineStr">
        <is>
          <t>market</t>
        </is>
      </c>
      <c r="I73" s="15">
        <f>MAX($B$8,IF($B$9="",D73,MIN(D73,$B$9)))</f>
        <v/>
      </c>
      <c r="J73" s="15">
        <f>I73+$B$7/10000</f>
        <v/>
      </c>
    </row>
    <row r="74">
      <c r="A74" s="10" t="n">
        <v>48183</v>
      </c>
      <c r="B74" s="10" t="n">
        <v>48214</v>
      </c>
      <c r="C74" s="11" t="n">
        <v>31</v>
      </c>
      <c r="D74" s="12" t="n">
        <v>0.046242</v>
      </c>
      <c r="E74" s="12" t="n">
        <v>0.0461557</v>
      </c>
      <c r="F74" s="12" t="n">
        <v>0.047164</v>
      </c>
      <c r="G74" s="13" t="n">
        <v>9.220000000000001</v>
      </c>
      <c r="H74" s="14" t="inlineStr">
        <is>
          <t>market</t>
        </is>
      </c>
      <c r="I74" s="15">
        <f>MAX($B$8,IF($B$9="",D74,MIN(D74,$B$9)))</f>
        <v/>
      </c>
      <c r="J74" s="15">
        <f>I74+$B$7/10000</f>
        <v/>
      </c>
    </row>
    <row r="75">
      <c r="A75" s="10" t="n">
        <v>48214</v>
      </c>
      <c r="B75" s="10" t="n">
        <v>48245</v>
      </c>
      <c r="C75" s="11" t="n">
        <v>31</v>
      </c>
      <c r="D75" s="12" t="n">
        <v>0.0463126</v>
      </c>
      <c r="E75" s="12" t="n">
        <v>0.0462266</v>
      </c>
      <c r="F75" s="12" t="n">
        <v>0.0472614</v>
      </c>
      <c r="G75" s="13" t="n">
        <v>9.49</v>
      </c>
      <c r="H75" s="14" t="inlineStr">
        <is>
          <t>market</t>
        </is>
      </c>
      <c r="I75" s="15">
        <f>MAX($B$8,IF($B$9="",D75,MIN(D75,$B$9)))</f>
        <v/>
      </c>
      <c r="J75" s="15">
        <f>I75+$B$7/10000</f>
        <v/>
      </c>
    </row>
    <row r="76">
      <c r="A76" s="10" t="n">
        <v>48245</v>
      </c>
      <c r="B76" s="10" t="n">
        <v>48274</v>
      </c>
      <c r="C76" s="11" t="n">
        <v>29</v>
      </c>
      <c r="D76" s="12" t="n">
        <v>0.0463819</v>
      </c>
      <c r="E76" s="12" t="n">
        <v>0.0463015</v>
      </c>
      <c r="F76" s="12" t="n">
        <v>0.0473583</v>
      </c>
      <c r="G76" s="13" t="n">
        <v>9.76</v>
      </c>
      <c r="H76" s="14" t="inlineStr">
        <is>
          <t>market</t>
        </is>
      </c>
      <c r="I76" s="15">
        <f>MAX($B$8,IF($B$9="",D76,MIN(D76,$B$9)))</f>
        <v/>
      </c>
      <c r="J76" s="15">
        <f>I76+$B$7/10000</f>
        <v/>
      </c>
    </row>
    <row r="77">
      <c r="A77" s="10" t="n">
        <v>48274</v>
      </c>
      <c r="B77" s="10" t="n">
        <v>48305</v>
      </c>
      <c r="C77" s="11" t="n">
        <v>31</v>
      </c>
      <c r="D77" s="12" t="n">
        <v>0.0464652</v>
      </c>
      <c r="E77" s="12" t="n">
        <v>0.0463784</v>
      </c>
      <c r="F77" s="12" t="n">
        <v>0.0474711</v>
      </c>
      <c r="G77" s="13" t="n">
        <v>10.06</v>
      </c>
      <c r="H77" s="14" t="inlineStr">
        <is>
          <t>market</t>
        </is>
      </c>
      <c r="I77" s="15">
        <f>MAX($B$8,IF($B$9="",D77,MIN(D77,$B$9)))</f>
        <v/>
      </c>
      <c r="J77" s="15">
        <f>I77+$B$7/10000</f>
        <v/>
      </c>
    </row>
    <row r="78">
      <c r="A78" s="10" t="n">
        <v>48305</v>
      </c>
      <c r="B78" s="10" t="n">
        <v>48335</v>
      </c>
      <c r="C78" s="11" t="n">
        <v>30</v>
      </c>
      <c r="D78" s="12" t="n">
        <v>0.046531</v>
      </c>
      <c r="E78" s="12" t="n">
        <v>0.0464464</v>
      </c>
      <c r="F78" s="12" t="n">
        <v>0.0475652</v>
      </c>
      <c r="G78" s="13" t="n">
        <v>10.34</v>
      </c>
      <c r="H78" s="14" t="inlineStr">
        <is>
          <t>market</t>
        </is>
      </c>
      <c r="I78" s="15">
        <f>MAX($B$8,IF($B$9="",D78,MIN(D78,$B$9)))</f>
        <v/>
      </c>
      <c r="J78" s="15">
        <f>I78+$B$7/10000</f>
        <v/>
      </c>
    </row>
    <row r="79">
      <c r="A79" s="10" t="n">
        <v>48335</v>
      </c>
      <c r="B79" s="10" t="n">
        <v>48366</v>
      </c>
      <c r="C79" s="11" t="n">
        <v>31</v>
      </c>
      <c r="D79" s="12" t="n">
        <v>0.0465876</v>
      </c>
      <c r="E79" s="12" t="n">
        <v>0.0465005</v>
      </c>
      <c r="F79" s="12" t="n">
        <v>0.047649</v>
      </c>
      <c r="G79" s="13" t="n">
        <v>10.61</v>
      </c>
      <c r="H79" s="14" t="inlineStr">
        <is>
          <t>market</t>
        </is>
      </c>
      <c r="I79" s="15">
        <f>MAX($B$8,IF($B$9="",D79,MIN(D79,$B$9)))</f>
        <v/>
      </c>
      <c r="J79" s="15">
        <f>I79+$B$7/10000</f>
        <v/>
      </c>
    </row>
    <row r="80">
      <c r="A80" s="10" t="n">
        <v>48366</v>
      </c>
      <c r="B80" s="10" t="n">
        <v>48396</v>
      </c>
      <c r="C80" s="11" t="n">
        <v>30</v>
      </c>
      <c r="D80" s="12" t="n">
        <v>0.04663929999999999</v>
      </c>
      <c r="E80" s="12" t="n">
        <v>0.0465549</v>
      </c>
      <c r="F80" s="12" t="n">
        <v>0.0477318</v>
      </c>
      <c r="G80" s="13" t="n">
        <v>10.92</v>
      </c>
      <c r="H80" s="14" t="inlineStr">
        <is>
          <t>market</t>
        </is>
      </c>
      <c r="I80" s="15">
        <f>MAX($B$8,IF($B$9="",D80,MIN(D80,$B$9)))</f>
        <v/>
      </c>
      <c r="J80" s="15">
        <f>I80+$B$7/10000</f>
        <v/>
      </c>
    </row>
    <row r="81">
      <c r="A81" s="10" t="n">
        <v>48396</v>
      </c>
      <c r="B81" s="10" t="n">
        <v>48427</v>
      </c>
      <c r="C81" s="11" t="n">
        <v>31</v>
      </c>
      <c r="D81" s="12" t="n">
        <v>0.046695</v>
      </c>
      <c r="E81" s="12" t="n">
        <v>0.0466075</v>
      </c>
      <c r="F81" s="12" t="n">
        <v>0.0478172</v>
      </c>
      <c r="G81" s="13" t="n">
        <v>11.22</v>
      </c>
      <c r="H81" s="14" t="inlineStr">
        <is>
          <t>market</t>
        </is>
      </c>
      <c r="I81" s="15">
        <f>MAX($B$8,IF($B$9="",D81,MIN(D81,$B$9)))</f>
        <v/>
      </c>
      <c r="J81" s="15">
        <f>I81+$B$7/10000</f>
        <v/>
      </c>
    </row>
    <row r="82">
      <c r="A82" s="10" t="n">
        <v>48427</v>
      </c>
      <c r="B82" s="10" t="n">
        <v>48458</v>
      </c>
      <c r="C82" s="11" t="n">
        <v>31</v>
      </c>
      <c r="D82" s="12" t="n">
        <v>0.0467564</v>
      </c>
      <c r="E82" s="12" t="n">
        <v>0.0466679</v>
      </c>
      <c r="F82" s="12" t="n">
        <v>0.0479077</v>
      </c>
      <c r="G82" s="13" t="n">
        <v>11.51</v>
      </c>
      <c r="H82" s="14" t="inlineStr">
        <is>
          <t>market</t>
        </is>
      </c>
      <c r="I82" s="15">
        <f>MAX($B$8,IF($B$9="",D82,MIN(D82,$B$9)))</f>
        <v/>
      </c>
      <c r="J82" s="15">
        <f>I82+$B$7/10000</f>
        <v/>
      </c>
    </row>
    <row r="83">
      <c r="A83" s="10" t="n">
        <v>48458</v>
      </c>
      <c r="B83" s="10" t="n">
        <v>48488</v>
      </c>
      <c r="C83" s="11" t="n">
        <v>30</v>
      </c>
      <c r="D83" s="12" t="n">
        <v>0.0468261</v>
      </c>
      <c r="E83" s="12" t="n">
        <v>0.046741</v>
      </c>
      <c r="F83" s="12" t="n">
        <v>0.0480083</v>
      </c>
      <c r="G83" s="13" t="n">
        <v>11.82</v>
      </c>
      <c r="H83" s="14" t="inlineStr">
        <is>
          <t>market</t>
        </is>
      </c>
      <c r="I83" s="15">
        <f>MAX($B$8,IF($B$9="",D83,MIN(D83,$B$9)))</f>
        <v/>
      </c>
      <c r="J83" s="15">
        <f>I83+$B$7/10000</f>
        <v/>
      </c>
    </row>
    <row r="84">
      <c r="A84" s="10" t="n">
        <v>48488</v>
      </c>
      <c r="B84" s="10" t="n">
        <v>48519</v>
      </c>
      <c r="C84" s="11" t="n">
        <v>31</v>
      </c>
      <c r="D84" s="12" t="n">
        <v>0.0468985</v>
      </c>
      <c r="E84" s="12" t="n">
        <v>0.0468107</v>
      </c>
      <c r="F84" s="12" t="n">
        <v>0.04811149999999999</v>
      </c>
      <c r="G84" s="13" t="n">
        <v>12.13</v>
      </c>
      <c r="H84" s="14" t="inlineStr">
        <is>
          <t>market</t>
        </is>
      </c>
      <c r="I84" s="15">
        <f>MAX($B$8,IF($B$9="",D84,MIN(D84,$B$9)))</f>
        <v/>
      </c>
      <c r="J84" s="15">
        <f>I84+$B$7/10000</f>
        <v/>
      </c>
    </row>
    <row r="85">
      <c r="A85" s="10" t="n">
        <v>48519</v>
      </c>
      <c r="B85" s="10" t="n">
        <v>48549</v>
      </c>
      <c r="C85" s="11" t="n">
        <v>30</v>
      </c>
      <c r="D85" s="12" t="n">
        <v>0.0469557</v>
      </c>
      <c r="E85" s="12" t="n">
        <v>0.0468699</v>
      </c>
      <c r="F85" s="12" t="n">
        <v>0.0481997</v>
      </c>
      <c r="G85" s="13" t="n">
        <v>12.44</v>
      </c>
      <c r="H85" s="14" t="inlineStr">
        <is>
          <t>market</t>
        </is>
      </c>
      <c r="I85" s="15">
        <f>MAX($B$8,IF($B$9="",D85,MIN(D85,$B$9)))</f>
        <v/>
      </c>
      <c r="J85" s="15">
        <f>I85+$B$7/10000</f>
        <v/>
      </c>
    </row>
    <row r="86">
      <c r="A86" s="10" t="n">
        <v>48549</v>
      </c>
      <c r="B86" s="10" t="n">
        <v>48580</v>
      </c>
      <c r="C86" s="11" t="n">
        <v>31</v>
      </c>
      <c r="D86" s="12" t="n">
        <v>0.0470087</v>
      </c>
      <c r="E86" s="12" t="n">
        <v>0.0469198</v>
      </c>
      <c r="F86" s="12" t="n">
        <v>0.0482845</v>
      </c>
      <c r="G86" s="13" t="n">
        <v>12.76</v>
      </c>
      <c r="H86" s="14" t="inlineStr">
        <is>
          <t>market</t>
        </is>
      </c>
      <c r="I86" s="15">
        <f>MAX($B$8,IF($B$9="",D86,MIN(D86,$B$9)))</f>
        <v/>
      </c>
      <c r="J86" s="15">
        <f>I86+$B$7/10000</f>
        <v/>
      </c>
    </row>
    <row r="87">
      <c r="A87" s="10" t="n">
        <v>48580</v>
      </c>
      <c r="B87" s="10" t="n">
        <v>48611</v>
      </c>
      <c r="C87" s="11" t="n">
        <v>31</v>
      </c>
      <c r="D87" s="12" t="n">
        <v>0.0470564</v>
      </c>
      <c r="E87" s="12" t="n">
        <v>0.04696760000000001</v>
      </c>
      <c r="F87" s="12" t="n">
        <v>0.0483619</v>
      </c>
      <c r="G87" s="13" t="n">
        <v>13.05</v>
      </c>
      <c r="H87" s="14" t="inlineStr">
        <is>
          <t>market</t>
        </is>
      </c>
      <c r="I87" s="15">
        <f>MAX($B$8,IF($B$9="",D87,MIN(D87,$B$9)))</f>
        <v/>
      </c>
      <c r="J87" s="15">
        <f>I87+$B$7/10000</f>
        <v/>
      </c>
    </row>
    <row r="88">
      <c r="A88" s="10" t="n">
        <v>48611</v>
      </c>
      <c r="B88" s="10" t="n">
        <v>48639</v>
      </c>
      <c r="C88" s="11" t="n">
        <v>28</v>
      </c>
      <c r="D88" s="12" t="n">
        <v>0.0471114</v>
      </c>
      <c r="E88" s="12" t="n">
        <v>0.04703159999999999</v>
      </c>
      <c r="F88" s="12" t="n">
        <v>0.0484501</v>
      </c>
      <c r="G88" s="13" t="n">
        <v>13.39</v>
      </c>
      <c r="H88" s="14" t="inlineStr">
        <is>
          <t>market</t>
        </is>
      </c>
      <c r="I88" s="15">
        <f>MAX($B$8,IF($B$9="",D88,MIN(D88,$B$9)))</f>
        <v/>
      </c>
      <c r="J88" s="15">
        <f>I88+$B$7/10000</f>
        <v/>
      </c>
    </row>
    <row r="89">
      <c r="A89" s="10" t="n">
        <v>48639</v>
      </c>
      <c r="B89" s="10" t="n">
        <v>48670</v>
      </c>
      <c r="C89" s="11" t="n">
        <v>31</v>
      </c>
      <c r="D89" s="12" t="n">
        <v>0.0471912</v>
      </c>
      <c r="E89" s="12" t="n">
        <v>0.047101</v>
      </c>
      <c r="F89" s="12" t="n">
        <v>0.0485623</v>
      </c>
      <c r="G89" s="13" t="n">
        <v>13.71</v>
      </c>
      <c r="H89" s="14" t="inlineStr">
        <is>
          <t>market</t>
        </is>
      </c>
      <c r="I89" s="15">
        <f>MAX($B$8,IF($B$9="",D89,MIN(D89,$B$9)))</f>
        <v/>
      </c>
      <c r="J89" s="15">
        <f>I89+$B$7/10000</f>
        <v/>
      </c>
    </row>
    <row r="90">
      <c r="A90" s="10" t="n">
        <v>48670</v>
      </c>
      <c r="B90" s="10" t="n">
        <v>48700</v>
      </c>
      <c r="C90" s="11" t="n">
        <v>30</v>
      </c>
      <c r="D90" s="12" t="n">
        <v>0.0472549</v>
      </c>
      <c r="E90" s="12" t="n">
        <v>0.0471685</v>
      </c>
      <c r="F90" s="12" t="n">
        <v>0.0486575</v>
      </c>
      <c r="G90" s="13" t="n">
        <v>14.03</v>
      </c>
      <c r="H90" s="14" t="inlineStr">
        <is>
          <t>market</t>
        </is>
      </c>
      <c r="I90" s="15">
        <f>MAX($B$8,IF($B$9="",D90,MIN(D90,$B$9)))</f>
        <v/>
      </c>
      <c r="J90" s="15">
        <f>I90+$B$7/10000</f>
        <v/>
      </c>
    </row>
    <row r="91">
      <c r="A91" s="10" t="n">
        <v>48700</v>
      </c>
      <c r="B91" s="10" t="n">
        <v>48731</v>
      </c>
      <c r="C91" s="11" t="n">
        <v>31</v>
      </c>
      <c r="D91" s="12" t="n">
        <v>0.04731150000000001</v>
      </c>
      <c r="E91" s="12" t="n">
        <v>0.0472215</v>
      </c>
      <c r="F91" s="12" t="n">
        <v>0.0487452</v>
      </c>
      <c r="G91" s="13" t="n">
        <v>14.34</v>
      </c>
      <c r="H91" s="14" t="inlineStr">
        <is>
          <t>market</t>
        </is>
      </c>
      <c r="I91" s="15">
        <f>MAX($B$8,IF($B$9="",D91,MIN(D91,$B$9)))</f>
        <v/>
      </c>
      <c r="J91" s="15">
        <f>I91+$B$7/10000</f>
        <v/>
      </c>
    </row>
    <row r="92">
      <c r="A92" s="10" t="n">
        <v>48731</v>
      </c>
      <c r="B92" s="10" t="n">
        <v>48761</v>
      </c>
      <c r="C92" s="11" t="n">
        <v>30</v>
      </c>
      <c r="D92" s="12" t="n">
        <v>0.0473505</v>
      </c>
      <c r="E92" s="12" t="n">
        <v>0.0472636</v>
      </c>
      <c r="F92" s="12" t="n">
        <v>0.0488174</v>
      </c>
      <c r="G92" s="13" t="n">
        <v>14.67</v>
      </c>
      <c r="H92" s="14" t="inlineStr">
        <is>
          <t>market</t>
        </is>
      </c>
      <c r="I92" s="15">
        <f>MAX($B$8,IF($B$9="",D92,MIN(D92,$B$9)))</f>
        <v/>
      </c>
      <c r="J92" s="15">
        <f>I92+$B$7/10000</f>
        <v/>
      </c>
    </row>
    <row r="93">
      <c r="A93" s="10" t="n">
        <v>48761</v>
      </c>
      <c r="B93" s="10" t="n">
        <v>48792</v>
      </c>
      <c r="C93" s="11" t="n">
        <v>31</v>
      </c>
      <c r="D93" s="12" t="n">
        <v>0.0473864</v>
      </c>
      <c r="E93" s="12" t="n">
        <v>0.0472967</v>
      </c>
      <c r="F93" s="12" t="n">
        <v>0.0488863</v>
      </c>
      <c r="G93" s="13" t="n">
        <v>15</v>
      </c>
      <c r="H93" s="14" t="inlineStr">
        <is>
          <t>market</t>
        </is>
      </c>
      <c r="I93" s="15">
        <f>MAX($B$8,IF($B$9="",D93,MIN(D93,$B$9)))</f>
        <v/>
      </c>
      <c r="J93" s="15">
        <f>I93+$B$7/10000</f>
        <v/>
      </c>
    </row>
    <row r="94">
      <c r="A94" s="10" t="n">
        <v>48792</v>
      </c>
      <c r="B94" s="10" t="n">
        <v>48823</v>
      </c>
      <c r="C94" s="11" t="n">
        <v>31</v>
      </c>
      <c r="D94" s="12" t="n">
        <v>0.0474237</v>
      </c>
      <c r="E94" s="12" t="n">
        <v>0.0473326</v>
      </c>
      <c r="F94" s="12" t="n">
        <v>0.0489574</v>
      </c>
      <c r="G94" s="13" t="n">
        <v>15.34</v>
      </c>
      <c r="H94" s="14" t="inlineStr">
        <is>
          <t>market</t>
        </is>
      </c>
      <c r="I94" s="15">
        <f>MAX($B$8,IF($B$9="",D94,MIN(D94,$B$9)))</f>
        <v/>
      </c>
      <c r="J94" s="15">
        <f>I94+$B$7/10000</f>
        <v/>
      </c>
    </row>
    <row r="95">
      <c r="A95" s="10" t="n">
        <v>48823</v>
      </c>
      <c r="B95" s="10" t="n">
        <v>48853</v>
      </c>
      <c r="C95" s="11" t="n">
        <v>30</v>
      </c>
      <c r="D95" s="12" t="n">
        <v>0.04746590000000001</v>
      </c>
      <c r="E95" s="12" t="n">
        <v>0.0473785</v>
      </c>
      <c r="F95" s="12" t="n">
        <v>0.0490338</v>
      </c>
      <c r="G95" s="13" t="n">
        <v>15.68</v>
      </c>
      <c r="H95" s="14" t="inlineStr">
        <is>
          <t>market</t>
        </is>
      </c>
      <c r="I95" s="15">
        <f>MAX($B$8,IF($B$9="",D95,MIN(D95,$B$9)))</f>
        <v/>
      </c>
      <c r="J95" s="15">
        <f>I95+$B$7/10000</f>
        <v/>
      </c>
    </row>
    <row r="96">
      <c r="A96" s="10" t="n">
        <v>48853</v>
      </c>
      <c r="B96" s="10" t="n">
        <v>48884</v>
      </c>
      <c r="C96" s="11" t="n">
        <v>31</v>
      </c>
      <c r="D96" s="12" t="n">
        <v>0.04752550000000001</v>
      </c>
      <c r="E96" s="12" t="n">
        <v>0.0474349</v>
      </c>
      <c r="F96" s="12" t="n">
        <v>0.0491267</v>
      </c>
      <c r="G96" s="13" t="n">
        <v>16.01</v>
      </c>
      <c r="H96" s="14" t="inlineStr">
        <is>
          <t>market</t>
        </is>
      </c>
      <c r="I96" s="15">
        <f>MAX($B$8,IF($B$9="",D96,MIN(D96,$B$9)))</f>
        <v/>
      </c>
      <c r="J96" s="15">
        <f>I96+$B$7/10000</f>
        <v/>
      </c>
    </row>
    <row r="97">
      <c r="A97" s="10" t="n">
        <v>48884</v>
      </c>
      <c r="B97" s="10" t="n">
        <v>48914</v>
      </c>
      <c r="C97" s="11" t="n">
        <v>30</v>
      </c>
      <c r="D97" s="12" t="n">
        <v>0.0475995</v>
      </c>
      <c r="E97" s="12" t="n">
        <v>0.0475118</v>
      </c>
      <c r="F97" s="12" t="n">
        <v>0.0492386</v>
      </c>
      <c r="G97" s="13" t="n">
        <v>16.39</v>
      </c>
      <c r="H97" s="14" t="inlineStr">
        <is>
          <t>market</t>
        </is>
      </c>
      <c r="I97" s="15">
        <f>MAX($B$8,IF($B$9="",D97,MIN(D97,$B$9)))</f>
        <v/>
      </c>
      <c r="J97" s="15">
        <f>I97+$B$7/10000</f>
        <v/>
      </c>
    </row>
    <row r="98">
      <c r="A98" s="10" t="n">
        <v>48914</v>
      </c>
      <c r="B98" s="10" t="n">
        <v>48945</v>
      </c>
      <c r="C98" s="11" t="n">
        <v>31</v>
      </c>
      <c r="D98" s="12" t="n">
        <v>0.0476769</v>
      </c>
      <c r="E98" s="12" t="n">
        <v>0.04758569999999999</v>
      </c>
      <c r="F98" s="12" t="n">
        <v>0.0493522</v>
      </c>
      <c r="G98" s="13" t="n">
        <v>16.75</v>
      </c>
      <c r="H98" s="14" t="inlineStr">
        <is>
          <t>market</t>
        </is>
      </c>
      <c r="I98" s="15">
        <f>MAX($B$8,IF($B$9="",D98,MIN(D98,$B$9)))</f>
        <v/>
      </c>
      <c r="J98" s="15">
        <f>I98+$B$7/10000</f>
        <v/>
      </c>
    </row>
    <row r="99">
      <c r="A99" s="10" t="n">
        <v>48945</v>
      </c>
      <c r="B99" s="10" t="n">
        <v>48976</v>
      </c>
      <c r="C99" s="11" t="n">
        <v>31</v>
      </c>
      <c r="D99" s="12" t="n">
        <v>0.0477259</v>
      </c>
      <c r="E99" s="12" t="n">
        <v>0.0476345</v>
      </c>
      <c r="F99" s="12" t="n">
        <v>0.0494342</v>
      </c>
      <c r="G99" s="13" t="n">
        <v>17.08</v>
      </c>
      <c r="H99" s="14" t="inlineStr">
        <is>
          <t>market</t>
        </is>
      </c>
      <c r="I99" s="15">
        <f>MAX($B$8,IF($B$9="",D99,MIN(D99,$B$9)))</f>
        <v/>
      </c>
      <c r="J99" s="15">
        <f>I99+$B$7/10000</f>
        <v/>
      </c>
    </row>
    <row r="100">
      <c r="A100" s="10" t="n">
        <v>48976</v>
      </c>
      <c r="B100" s="10" t="n">
        <v>49004</v>
      </c>
      <c r="C100" s="11" t="n">
        <v>28</v>
      </c>
      <c r="D100" s="12" t="n">
        <v>0.0477332</v>
      </c>
      <c r="E100" s="12" t="n">
        <v>0.0476513</v>
      </c>
      <c r="F100" s="12" t="n">
        <v>0.0494774</v>
      </c>
      <c r="G100" s="13" t="n">
        <v>17.44</v>
      </c>
      <c r="H100" s="14" t="inlineStr">
        <is>
          <t>market</t>
        </is>
      </c>
      <c r="I100" s="15">
        <f>MAX($B$8,IF($B$9="",D100,MIN(D100,$B$9)))</f>
        <v/>
      </c>
      <c r="J100" s="15">
        <f>I100+$B$7/10000</f>
        <v/>
      </c>
    </row>
    <row r="101">
      <c r="A101" s="10" t="n">
        <v>49004</v>
      </c>
      <c r="B101" s="10" t="n">
        <v>49035</v>
      </c>
      <c r="C101" s="11" t="n">
        <v>31</v>
      </c>
      <c r="D101" s="12" t="n">
        <v>0.0477296</v>
      </c>
      <c r="E101" s="12" t="n">
        <v>0.0476374</v>
      </c>
      <c r="F101" s="12" t="n">
        <v>0.0495082</v>
      </c>
      <c r="G101" s="13" t="n">
        <v>17.79</v>
      </c>
      <c r="H101" s="14" t="inlineStr">
        <is>
          <t>market</t>
        </is>
      </c>
      <c r="I101" s="15">
        <f>MAX($B$8,IF($B$9="",D101,MIN(D101,$B$9)))</f>
        <v/>
      </c>
      <c r="J101" s="15">
        <f>I101+$B$7/10000</f>
        <v/>
      </c>
    </row>
    <row r="102">
      <c r="A102" s="10" t="n">
        <v>49035</v>
      </c>
      <c r="B102" s="10" t="n">
        <v>49065</v>
      </c>
      <c r="C102" s="11" t="n">
        <v>30</v>
      </c>
      <c r="D102" s="12" t="n">
        <v>0.047723</v>
      </c>
      <c r="E102" s="12" t="n">
        <v>0.0476348</v>
      </c>
      <c r="F102" s="12" t="n">
        <v>0.04953299999999999</v>
      </c>
      <c r="G102" s="13" t="n">
        <v>18.1</v>
      </c>
      <c r="H102" s="14" t="inlineStr">
        <is>
          <t>market</t>
        </is>
      </c>
      <c r="I102" s="15">
        <f>MAX($B$8,IF($B$9="",D102,MIN(D102,$B$9)))</f>
        <v/>
      </c>
      <c r="J102" s="15">
        <f>I102+$B$7/10000</f>
        <v/>
      </c>
    </row>
    <row r="103">
      <c r="A103" s="10" t="n">
        <v>49065</v>
      </c>
      <c r="B103" s="10" t="n">
        <v>49096</v>
      </c>
      <c r="C103" s="11" t="n">
        <v>31</v>
      </c>
      <c r="D103" s="12" t="n">
        <v>0.0477649</v>
      </c>
      <c r="E103" s="12" t="n">
        <v>0.0476731</v>
      </c>
      <c r="F103" s="12" t="n">
        <v>0.04961280000000001</v>
      </c>
      <c r="G103" s="13" t="n">
        <v>18.48</v>
      </c>
      <c r="H103" s="14" t="inlineStr">
        <is>
          <t>market</t>
        </is>
      </c>
      <c r="I103" s="15">
        <f>MAX($B$8,IF($B$9="",D103,MIN(D103,$B$9)))</f>
        <v/>
      </c>
      <c r="J103" s="15">
        <f>I103+$B$7/10000</f>
        <v/>
      </c>
    </row>
    <row r="104">
      <c r="A104" s="10" t="n">
        <v>49096</v>
      </c>
      <c r="B104" s="10" t="n">
        <v>49126</v>
      </c>
      <c r="C104" s="11" t="n">
        <v>30</v>
      </c>
      <c r="D104" s="12" t="n">
        <v>0.0478382</v>
      </c>
      <c r="E104" s="12" t="n">
        <v>0.0477494</v>
      </c>
      <c r="F104" s="12" t="n">
        <v>0.0497227</v>
      </c>
      <c r="G104" s="13" t="n">
        <v>18.85</v>
      </c>
      <c r="H104" s="14" t="inlineStr">
        <is>
          <t>market</t>
        </is>
      </c>
      <c r="I104" s="15">
        <f>MAX($B$8,IF($B$9="",D104,MIN(D104,$B$9)))</f>
        <v/>
      </c>
      <c r="J104" s="15">
        <f>I104+$B$7/10000</f>
        <v/>
      </c>
    </row>
    <row r="105">
      <c r="A105" s="10" t="n">
        <v>49126</v>
      </c>
      <c r="B105" s="10" t="n">
        <v>49157</v>
      </c>
      <c r="C105" s="11" t="n">
        <v>31</v>
      </c>
      <c r="D105" s="12" t="n">
        <v>0.0479113</v>
      </c>
      <c r="E105" s="12" t="n">
        <v>0.0478187</v>
      </c>
      <c r="F105" s="12" t="n">
        <v>0.0498314</v>
      </c>
      <c r="G105" s="13" t="n">
        <v>19.2</v>
      </c>
      <c r="H105" s="14" t="inlineStr">
        <is>
          <t>market</t>
        </is>
      </c>
      <c r="I105" s="15">
        <f>MAX($B$8,IF($B$9="",D105,MIN(D105,$B$9)))</f>
        <v/>
      </c>
      <c r="J105" s="15">
        <f>I105+$B$7/10000</f>
        <v/>
      </c>
    </row>
    <row r="106">
      <c r="A106" s="10" t="n">
        <v>49157</v>
      </c>
      <c r="B106" s="10" t="n">
        <v>49188</v>
      </c>
      <c r="C106" s="11" t="n">
        <v>31</v>
      </c>
      <c r="D106" s="12" t="n">
        <v>0.0479439</v>
      </c>
      <c r="E106" s="12" t="n">
        <v>0.0478509</v>
      </c>
      <c r="F106" s="12" t="n">
        <v>0.0499043</v>
      </c>
      <c r="G106" s="13" t="n">
        <v>19.6</v>
      </c>
      <c r="H106" s="14" t="inlineStr">
        <is>
          <t>market</t>
        </is>
      </c>
      <c r="I106" s="15">
        <f>MAX($B$8,IF($B$9="",D106,MIN(D106,$B$9)))</f>
        <v/>
      </c>
      <c r="J106" s="15">
        <f>I106+$B$7/10000</f>
        <v/>
      </c>
    </row>
    <row r="107">
      <c r="A107" s="10" t="n">
        <v>49188</v>
      </c>
      <c r="B107" s="10" t="n">
        <v>49218</v>
      </c>
      <c r="C107" s="11" t="n">
        <v>30</v>
      </c>
      <c r="D107" s="12" t="n">
        <v>0.0479218</v>
      </c>
      <c r="E107" s="12" t="n">
        <v>0.0478329</v>
      </c>
      <c r="F107" s="12" t="n">
        <v>0.0499192</v>
      </c>
      <c r="G107" s="13" t="n">
        <v>19.97</v>
      </c>
      <c r="H107" s="14" t="inlineStr">
        <is>
          <t>market</t>
        </is>
      </c>
      <c r="I107" s="15">
        <f>MAX($B$8,IF($B$9="",D107,MIN(D107,$B$9)))</f>
        <v/>
      </c>
      <c r="J107" s="15">
        <f>I107+$B$7/10000</f>
        <v/>
      </c>
    </row>
    <row r="108">
      <c r="A108" s="10" t="n">
        <v>49218</v>
      </c>
      <c r="B108" s="10" t="n">
        <v>49249</v>
      </c>
      <c r="C108" s="11" t="n">
        <v>31</v>
      </c>
      <c r="D108" s="12" t="n">
        <v>0.0479132</v>
      </c>
      <c r="E108" s="12" t="n">
        <v>0.0478208</v>
      </c>
      <c r="F108" s="12" t="n">
        <v>0.0499469</v>
      </c>
      <c r="G108" s="13" t="n">
        <v>20.34</v>
      </c>
      <c r="H108" s="14" t="inlineStr">
        <is>
          <t>market</t>
        </is>
      </c>
      <c r="I108" s="15">
        <f>MAX($B$8,IF($B$9="",D108,MIN(D108,$B$9)))</f>
        <v/>
      </c>
      <c r="J108" s="15">
        <f>I108+$B$7/10000</f>
        <v/>
      </c>
    </row>
    <row r="109">
      <c r="A109" s="10" t="n">
        <v>49249</v>
      </c>
      <c r="B109" s="10" t="n">
        <v>49279</v>
      </c>
      <c r="C109" s="11" t="n">
        <v>30</v>
      </c>
      <c r="D109" s="12" t="n">
        <v>0.04796160000000001</v>
      </c>
      <c r="E109" s="12" t="n">
        <v>0.0478719</v>
      </c>
      <c r="F109" s="12" t="n">
        <v>0.0500337</v>
      </c>
      <c r="G109" s="13" t="n">
        <v>20.72</v>
      </c>
      <c r="H109" s="14" t="inlineStr">
        <is>
          <t>market</t>
        </is>
      </c>
      <c r="I109" s="15">
        <f>MAX($B$8,IF($B$9="",D109,MIN(D109,$B$9)))</f>
        <v/>
      </c>
      <c r="J109" s="15">
        <f>I109+$B$7/10000</f>
        <v/>
      </c>
    </row>
    <row r="110">
      <c r="A110" s="10" t="n">
        <v>49279</v>
      </c>
      <c r="B110" s="10" t="n">
        <v>49310</v>
      </c>
      <c r="C110" s="11" t="n">
        <v>31</v>
      </c>
      <c r="D110" s="12" t="n">
        <v>0.048082</v>
      </c>
      <c r="E110" s="12" t="n">
        <v>0.0479896</v>
      </c>
      <c r="F110" s="12" t="n">
        <v>0.0501922</v>
      </c>
      <c r="G110" s="13" t="n">
        <v>21.1</v>
      </c>
      <c r="H110" s="14" t="inlineStr">
        <is>
          <t>market</t>
        </is>
      </c>
      <c r="I110" s="15">
        <f>MAX($B$8,IF($B$9="",D110,MIN(D110,$B$9)))</f>
        <v/>
      </c>
      <c r="J110" s="15">
        <f>I110+$B$7/10000</f>
        <v/>
      </c>
    </row>
    <row r="111">
      <c r="A111" s="10" t="n">
        <v>49310</v>
      </c>
      <c r="B111" s="10" t="n">
        <v>49341</v>
      </c>
      <c r="C111" s="11" t="n">
        <v>31</v>
      </c>
      <c r="D111" s="12" t="n">
        <v>0.0482088</v>
      </c>
      <c r="E111" s="12" t="n">
        <v>0.0481153</v>
      </c>
      <c r="F111" s="12" t="n">
        <v>0.050356</v>
      </c>
      <c r="G111" s="13" t="n">
        <v>21.47</v>
      </c>
      <c r="H111" s="14" t="inlineStr">
        <is>
          <t>market</t>
        </is>
      </c>
      <c r="I111" s="15">
        <f>MAX($B$8,IF($B$9="",D111,MIN(D111,$B$9)))</f>
        <v/>
      </c>
      <c r="J111" s="15">
        <f>I111+$B$7/10000</f>
        <v/>
      </c>
    </row>
    <row r="112">
      <c r="A112" s="10" t="n">
        <v>49341</v>
      </c>
      <c r="B112" s="10" t="n">
        <v>49369</v>
      </c>
      <c r="C112" s="11" t="n">
        <v>28</v>
      </c>
      <c r="D112" s="12" t="n">
        <v>0.0482785</v>
      </c>
      <c r="E112" s="12" t="n">
        <v>0.0481948</v>
      </c>
      <c r="F112" s="12" t="n">
        <v>0.050464</v>
      </c>
      <c r="G112" s="13" t="n">
        <v>21.86</v>
      </c>
      <c r="H112" s="14" t="inlineStr">
        <is>
          <t>market</t>
        </is>
      </c>
      <c r="I112" s="15">
        <f>MAX($B$8,IF($B$9="",D112,MIN(D112,$B$9)))</f>
        <v/>
      </c>
      <c r="J112" s="15">
        <f>I112+$B$7/10000</f>
        <v/>
      </c>
    </row>
    <row r="113">
      <c r="A113" s="10" t="n">
        <v>49369</v>
      </c>
      <c r="B113" s="10" t="n">
        <v>49400</v>
      </c>
      <c r="C113" s="11" t="n">
        <v>31</v>
      </c>
      <c r="D113" s="12" t="n">
        <v>0.0482944</v>
      </c>
      <c r="E113" s="12" t="n">
        <v>0.0482008</v>
      </c>
      <c r="F113" s="12" t="n">
        <v>0.0505188</v>
      </c>
      <c r="G113" s="13" t="n">
        <v>22.24</v>
      </c>
      <c r="H113" s="14" t="inlineStr">
        <is>
          <t>market</t>
        </is>
      </c>
      <c r="I113" s="15">
        <f>MAX($B$8,IF($B$9="",D113,MIN(D113,$B$9)))</f>
        <v/>
      </c>
      <c r="J113" s="15">
        <f>I113+$B$7/10000</f>
        <v/>
      </c>
    </row>
    <row r="114">
      <c r="A114" s="10" t="n">
        <v>49400</v>
      </c>
      <c r="B114" s="10" t="n">
        <v>49430</v>
      </c>
      <c r="C114" s="11" t="n">
        <v>30</v>
      </c>
      <c r="D114" s="12" t="n">
        <v>0.04826399999999999</v>
      </c>
      <c r="E114" s="12" t="n">
        <v>0.048173</v>
      </c>
      <c r="F114" s="12" t="n">
        <v>0.0505253</v>
      </c>
      <c r="G114" s="13" t="n">
        <v>22.61</v>
      </c>
      <c r="H114" s="14" t="inlineStr">
        <is>
          <t>market</t>
        </is>
      </c>
      <c r="I114" s="15">
        <f>MAX($B$8,IF($B$9="",D114,MIN(D114,$B$9)))</f>
        <v/>
      </c>
      <c r="J114" s="15">
        <f>I114+$B$7/10000</f>
        <v/>
      </c>
    </row>
    <row r="115">
      <c r="A115" s="10" t="n">
        <v>49430</v>
      </c>
      <c r="B115" s="10" t="n">
        <v>49461</v>
      </c>
      <c r="C115" s="11" t="n">
        <v>31</v>
      </c>
      <c r="D115" s="12" t="n">
        <v>0.048257</v>
      </c>
      <c r="E115" s="12" t="n">
        <v>0.0481634</v>
      </c>
      <c r="F115" s="12" t="n">
        <v>0.050559</v>
      </c>
      <c r="G115" s="13" t="n">
        <v>23.02</v>
      </c>
      <c r="H115" s="14" t="inlineStr">
        <is>
          <t>market</t>
        </is>
      </c>
      <c r="I115" s="15">
        <f>MAX($B$8,IF($B$9="",D115,MIN(D115,$B$9)))</f>
        <v/>
      </c>
      <c r="J115" s="15">
        <f>I115+$B$7/10000</f>
        <v/>
      </c>
    </row>
    <row r="116">
      <c r="A116" s="10" t="n">
        <v>49461</v>
      </c>
      <c r="B116" s="10" t="n">
        <v>49491</v>
      </c>
      <c r="C116" s="11" t="n">
        <v>30</v>
      </c>
      <c r="D116" s="12" t="n">
        <v>0.0482851</v>
      </c>
      <c r="E116" s="12" t="n">
        <v>0.0481944</v>
      </c>
      <c r="F116" s="12" t="n">
        <v>0.0506266</v>
      </c>
      <c r="G116" s="13" t="n">
        <v>23.42</v>
      </c>
      <c r="H116" s="14" t="inlineStr">
        <is>
          <t>market</t>
        </is>
      </c>
      <c r="I116" s="15">
        <f>MAX($B$8,IF($B$9="",D116,MIN(D116,$B$9)))</f>
        <v/>
      </c>
      <c r="J116" s="15">
        <f>I116+$B$7/10000</f>
        <v/>
      </c>
    </row>
    <row r="117">
      <c r="A117" s="10" t="n">
        <v>49491</v>
      </c>
      <c r="B117" s="10" t="n">
        <v>49522</v>
      </c>
      <c r="C117" s="11" t="n">
        <v>31</v>
      </c>
      <c r="D117" s="12" t="n">
        <v>0.04833999999999999</v>
      </c>
      <c r="E117" s="12" t="n">
        <v>0.0482456</v>
      </c>
      <c r="F117" s="12" t="n">
        <v>0.0507209</v>
      </c>
      <c r="G117" s="13" t="n">
        <v>23.81</v>
      </c>
      <c r="H117" s="14" t="inlineStr">
        <is>
          <t>market</t>
        </is>
      </c>
      <c r="I117" s="15">
        <f>MAX($B$8,IF($B$9="",D117,MIN(D117,$B$9)))</f>
        <v/>
      </c>
      <c r="J117" s="15">
        <f>I117+$B$7/10000</f>
        <v/>
      </c>
    </row>
    <row r="118">
      <c r="A118" s="10" t="n">
        <v>49522</v>
      </c>
      <c r="B118" s="10" t="n">
        <v>49553</v>
      </c>
      <c r="C118" s="11" t="n">
        <v>31</v>
      </c>
      <c r="D118" s="12" t="n">
        <v>0.0483867</v>
      </c>
      <c r="E118" s="12" t="n">
        <v>0.0482919</v>
      </c>
      <c r="F118" s="12" t="n">
        <v>0.050809</v>
      </c>
      <c r="G118" s="13" t="n">
        <v>24.22</v>
      </c>
      <c r="H118" s="14" t="inlineStr">
        <is>
          <t>market</t>
        </is>
      </c>
      <c r="I118" s="15">
        <f>MAX($B$8,IF($B$9="",D118,MIN(D118,$B$9)))</f>
        <v/>
      </c>
      <c r="J118" s="15">
        <f>I118+$B$7/10000</f>
        <v/>
      </c>
    </row>
    <row r="119">
      <c r="A119" s="10" t="n">
        <v>49553</v>
      </c>
      <c r="B119" s="10" t="n">
        <v>49583</v>
      </c>
      <c r="C119" s="11" t="n">
        <v>30</v>
      </c>
      <c r="D119" s="12" t="n">
        <v>0.0484118</v>
      </c>
      <c r="E119" s="12" t="n">
        <v>0.0483209</v>
      </c>
      <c r="F119" s="12" t="n">
        <v>0.0508697</v>
      </c>
      <c r="G119" s="13" t="n">
        <v>24.58</v>
      </c>
      <c r="H119" s="14" t="inlineStr">
        <is>
          <t>market</t>
        </is>
      </c>
      <c r="I119" s="15">
        <f>MAX($B$8,IF($B$9="",D119,MIN(D119,$B$9)))</f>
        <v/>
      </c>
      <c r="J119" s="15">
        <f>I119+$B$7/10000</f>
        <v/>
      </c>
    </row>
    <row r="120">
      <c r="A120" s="10" t="n">
        <v>49583</v>
      </c>
      <c r="B120" s="10" t="n">
        <v>49614</v>
      </c>
      <c r="C120" s="11" t="n">
        <v>31</v>
      </c>
      <c r="D120" s="12" t="n">
        <v>0.0484647</v>
      </c>
      <c r="E120" s="12" t="n">
        <v>0.0483703</v>
      </c>
      <c r="F120" s="12" t="n">
        <v>0.0509669</v>
      </c>
      <c r="G120" s="13" t="n">
        <v>25.02</v>
      </c>
      <c r="H120" s="14" t="inlineStr">
        <is>
          <t>market</t>
        </is>
      </c>
      <c r="I120" s="15">
        <f>MAX($B$8,IF($B$9="",D120,MIN(D120,$B$9)))</f>
        <v/>
      </c>
      <c r="J120" s="15">
        <f>I120+$B$7/10000</f>
        <v/>
      </c>
    </row>
    <row r="121">
      <c r="A121" s="10" t="n">
        <v>49614</v>
      </c>
      <c r="B121" s="10" t="n">
        <v>49644</v>
      </c>
      <c r="C121" s="11" t="n">
        <v>30</v>
      </c>
      <c r="D121" s="12" t="n">
        <v>0.0485483</v>
      </c>
      <c r="E121" s="12" t="n">
        <v>0.0484571</v>
      </c>
      <c r="F121" s="12" t="n">
        <v>0.0510905</v>
      </c>
      <c r="G121" s="13" t="n">
        <v>25.42</v>
      </c>
      <c r="H121" s="14" t="inlineStr">
        <is>
          <t>market</t>
        </is>
      </c>
      <c r="I121" s="15">
        <f>MAX($B$8,IF($B$9="",D121,MIN(D121,$B$9)))</f>
        <v/>
      </c>
      <c r="J121" s="15">
        <f>I121+$B$7/10000</f>
        <v/>
      </c>
    </row>
    <row r="122">
      <c r="A122" s="10" t="n">
        <v>49644</v>
      </c>
      <c r="B122" s="10" t="n">
        <v>49675</v>
      </c>
      <c r="C122" s="11" t="n">
        <v>31</v>
      </c>
      <c r="D122" s="12" t="n">
        <v>0.0486668</v>
      </c>
      <c r="E122" s="12" t="n">
        <v>0.0485713</v>
      </c>
      <c r="F122" s="12" t="n">
        <v>0.0512477</v>
      </c>
      <c r="G122" s="13" t="n">
        <v>25.81</v>
      </c>
      <c r="H122" s="14" t="inlineStr">
        <is>
          <t>market</t>
        </is>
      </c>
      <c r="I122" s="15">
        <f>MAX($B$8,IF($B$9="",D122,MIN(D122,$B$9)))</f>
        <v/>
      </c>
      <c r="J122" s="15">
        <f>I122+$B$7/10000</f>
        <v/>
      </c>
    </row>
    <row r="123">
      <c r="A123" s="10" t="n">
        <v>49675</v>
      </c>
      <c r="B123" s="10" t="n">
        <v>49706</v>
      </c>
      <c r="C123" s="11" t="n">
        <v>31</v>
      </c>
      <c r="D123" s="12" t="n">
        <v>0.0487898</v>
      </c>
      <c r="E123" s="12" t="n">
        <v>0.0486941</v>
      </c>
      <c r="F123" s="12" t="n">
        <v>0.0514133</v>
      </c>
      <c r="G123" s="13" t="n">
        <v>26.23</v>
      </c>
      <c r="H123" s="14" t="inlineStr">
        <is>
          <t>market</t>
        </is>
      </c>
      <c r="I123" s="15">
        <f>MAX($B$8,IF($B$9="",D123,MIN(D123,$B$9)))</f>
        <v/>
      </c>
      <c r="J123" s="15">
        <f>I123+$B$7/10000</f>
        <v/>
      </c>
    </row>
    <row r="124">
      <c r="A124" s="10" t="n">
        <v>49706</v>
      </c>
      <c r="B124" s="10" t="n">
        <v>49735</v>
      </c>
      <c r="C124" s="11" t="n">
        <v>29</v>
      </c>
      <c r="D124" s="12" t="n">
        <v>0.04886</v>
      </c>
      <c r="E124" s="12" t="n">
        <v>0.0487709</v>
      </c>
      <c r="F124" s="12" t="n">
        <v>0.0515254</v>
      </c>
      <c r="G124" s="13" t="n">
        <v>26.65</v>
      </c>
      <c r="H124" s="14" t="inlineStr">
        <is>
          <t>market</t>
        </is>
      </c>
      <c r="I124" s="15">
        <f>MAX($B$8,IF($B$9="",D124,MIN(D124,$B$9)))</f>
        <v/>
      </c>
      <c r="J124" s="15">
        <f>I124+$B$7/10000</f>
        <v/>
      </c>
    </row>
    <row r="125">
      <c r="A125" s="10" t="n">
        <v>49735</v>
      </c>
      <c r="B125" s="10" t="n">
        <v>49766</v>
      </c>
      <c r="C125" s="11" t="n">
        <v>31</v>
      </c>
      <c r="D125" s="12" t="n">
        <v>0.0488794</v>
      </c>
      <c r="E125" s="12" t="n">
        <v>0.0487829</v>
      </c>
      <c r="F125" s="12" t="n">
        <v>0.051584</v>
      </c>
      <c r="G125" s="13" t="n">
        <v>27.05</v>
      </c>
      <c r="H125" s="14" t="inlineStr">
        <is>
          <t>market</t>
        </is>
      </c>
      <c r="I125" s="15">
        <f>MAX($B$8,IF($B$9="",D125,MIN(D125,$B$9)))</f>
        <v/>
      </c>
      <c r="J125" s="15">
        <f>I125+$B$7/10000</f>
        <v/>
      </c>
    </row>
    <row r="126">
      <c r="A126" s="10" t="n">
        <v>49766</v>
      </c>
      <c r="B126" s="10" t="n">
        <v>49796</v>
      </c>
      <c r="C126" s="11" t="n">
        <v>30</v>
      </c>
      <c r="D126" s="12" t="n">
        <v>0.04884330000000001</v>
      </c>
      <c r="E126" s="12" t="n">
        <v>0.0487508</v>
      </c>
      <c r="F126" s="12" t="n">
        <v>0.0515911</v>
      </c>
      <c r="G126" s="13" t="n">
        <v>27.48</v>
      </c>
      <c r="H126" s="14" t="inlineStr">
        <is>
          <t>market</t>
        </is>
      </c>
      <c r="I126" s="15">
        <f>MAX($B$8,IF($B$9="",D126,MIN(D126,$B$9)))</f>
        <v/>
      </c>
      <c r="J126" s="15">
        <f>I126+$B$7/10000</f>
        <v/>
      </c>
    </row>
    <row r="127">
      <c r="A127" s="10" t="n">
        <v>49796</v>
      </c>
      <c r="B127" s="10" t="n">
        <v>49827</v>
      </c>
      <c r="C127" s="11" t="n">
        <v>31</v>
      </c>
      <c r="D127" s="12" t="n">
        <v>0.0487928</v>
      </c>
      <c r="E127" s="12" t="n">
        <v>0.0486973</v>
      </c>
      <c r="F127" s="12" t="n">
        <v>0.0515818</v>
      </c>
      <c r="G127" s="13" t="n">
        <v>27.89</v>
      </c>
      <c r="H127" s="14" t="inlineStr">
        <is>
          <t>market</t>
        </is>
      </c>
      <c r="I127" s="15">
        <f>MAX($B$8,IF($B$9="",D127,MIN(D127,$B$9)))</f>
        <v/>
      </c>
      <c r="J127" s="15">
        <f>I127+$B$7/10000</f>
        <v/>
      </c>
    </row>
    <row r="128">
      <c r="A128" s="10" t="n">
        <v>49827</v>
      </c>
      <c r="B128" s="10" t="n">
        <v>49857</v>
      </c>
      <c r="C128" s="11" t="n">
        <v>30</v>
      </c>
      <c r="D128" s="12" t="n">
        <v>0.0487332</v>
      </c>
      <c r="E128" s="12" t="n">
        <v>0.04864060000000001</v>
      </c>
      <c r="F128" s="12" t="n">
        <v>0.0515613</v>
      </c>
      <c r="G128" s="13" t="n">
        <v>28.28</v>
      </c>
      <c r="H128" s="14" t="inlineStr">
        <is>
          <t>market</t>
        </is>
      </c>
      <c r="I128" s="15">
        <f>MAX($B$8,IF($B$9="",D128,MIN(D128,$B$9)))</f>
        <v/>
      </c>
      <c r="J128" s="15">
        <f>I128+$B$7/10000</f>
        <v/>
      </c>
    </row>
    <row r="129">
      <c r="A129" s="16" t="n">
        <v>49857</v>
      </c>
      <c r="B129" s="16" t="n">
        <v>49888</v>
      </c>
      <c r="C129" s="17" t="n">
        <v>31</v>
      </c>
      <c r="D129" s="18" t="n">
        <v>0.04873420000000001</v>
      </c>
      <c r="E129" s="18" t="n">
        <v>0.04863870000000001</v>
      </c>
      <c r="F129" s="18" t="n">
        <v>0.051564</v>
      </c>
      <c r="G129" s="19" t="n">
        <v>28.3</v>
      </c>
      <c r="H129" s="20" t="inlineStr">
        <is>
          <t>extrapolated</t>
        </is>
      </c>
      <c r="I129" s="21">
        <f>MAX($B$8,IF($B$9="",D129,MIN(D129,$B$9)))</f>
        <v/>
      </c>
      <c r="J129" s="21">
        <f>I129+$B$7/10000</f>
        <v/>
      </c>
    </row>
    <row r="130">
      <c r="A130" s="16" t="n">
        <v>49888</v>
      </c>
      <c r="B130" s="16" t="n">
        <v>49919</v>
      </c>
      <c r="C130" s="17" t="n">
        <v>31</v>
      </c>
      <c r="D130" s="18" t="n">
        <v>0.04873420000000001</v>
      </c>
      <c r="E130" s="18" t="n">
        <v>0.04863870000000001</v>
      </c>
      <c r="F130" s="18" t="n">
        <v>0.051564</v>
      </c>
      <c r="G130" s="19" t="n">
        <v>28.3</v>
      </c>
      <c r="H130" s="20" t="inlineStr">
        <is>
          <t>extrapolated</t>
        </is>
      </c>
      <c r="I130" s="21">
        <f>MAX($B$8,IF($B$9="",D130,MIN(D130,$B$9)))</f>
        <v/>
      </c>
      <c r="J130" s="21">
        <f>I130+$B$7/10000</f>
        <v/>
      </c>
    </row>
    <row r="131">
      <c r="A131" s="16" t="n">
        <v>49919</v>
      </c>
      <c r="B131" s="16" t="n">
        <v>49949</v>
      </c>
      <c r="C131" s="17" t="n">
        <v>30</v>
      </c>
      <c r="D131" s="18" t="n">
        <v>0.0487314</v>
      </c>
      <c r="E131" s="18" t="n">
        <v>0.04863870000000001</v>
      </c>
      <c r="F131" s="18" t="n">
        <v>0.051561</v>
      </c>
      <c r="G131" s="19" t="n">
        <v>28.3</v>
      </c>
      <c r="H131" s="20" t="inlineStr">
        <is>
          <t>extrapolated</t>
        </is>
      </c>
      <c r="I131" s="21">
        <f>MAX($B$8,IF($B$9="",D131,MIN(D131,$B$9)))</f>
        <v/>
      </c>
      <c r="J131" s="21">
        <f>I131+$B$7/10000</f>
        <v/>
      </c>
    </row>
    <row r="132">
      <c r="A132" s="16" t="n">
        <v>49949</v>
      </c>
      <c r="B132" s="16" t="n">
        <v>49980</v>
      </c>
      <c r="C132" s="17" t="n">
        <v>31</v>
      </c>
      <c r="D132" s="18" t="n">
        <v>0.04873420000000001</v>
      </c>
      <c r="E132" s="18" t="n">
        <v>0.04863870000000001</v>
      </c>
      <c r="F132" s="18" t="n">
        <v>0.051564</v>
      </c>
      <c r="G132" s="19" t="n">
        <v>28.3</v>
      </c>
      <c r="H132" s="20" t="inlineStr">
        <is>
          <t>extrapolated</t>
        </is>
      </c>
      <c r="I132" s="21">
        <f>MAX($B$8,IF($B$9="",D132,MIN(D132,$B$9)))</f>
        <v/>
      </c>
      <c r="J132" s="21">
        <f>I132+$B$7/10000</f>
        <v/>
      </c>
    </row>
    <row r="134">
      <c r="A134" s="5" t="inlineStr">
        <is>
          <t>1M Fwd SOFR: compounded SOFR over the calendar month, approximately the 1M Term SOFR fixing on the reset date.</t>
        </is>
      </c>
    </row>
    <row r="135">
      <c r="A135" s="5" t="inlineStr">
        <is>
          <t>Status: 'partially fixed' months blend published SOFR fixings with forwards; 'extrapolated' months (grey) lie beyond the last listed SR3 contract and hold its level flat.</t>
        </is>
      </c>
    </row>
    <row r="136">
      <c r="A136" s="5" t="inlineStr">
        <is>
          <t>Blue numbers are model outputs pasted as values; black cells are formulas driven by the yellow inputs.</t>
        </is>
      </c>
    </row>
    <row r="137">
      <c r="A137" s="5" t="inlineStr">
        <is>
          <t>Live data: https://jkane-29.github.io/opensofr/api/v1/latest.csv  (Excel: Data &gt; From Web, paste the URL, then Refresh All).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8" customWidth="1" min="4" max="4"/>
  </cols>
  <sheetData>
    <row r="1">
      <c r="A1" s="2" t="inlineStr">
        <is>
          <t>Calendar-year averages (simple average of monthly values)</t>
        </is>
      </c>
    </row>
    <row r="3" ht="30" customHeight="1">
      <c r="A3" s="9" t="inlineStr">
        <is>
          <t>Year</t>
        </is>
      </c>
      <c r="B3" s="9" t="inlineStr">
        <is>
          <t>Months in Curve</t>
        </is>
      </c>
      <c r="C3" s="9" t="inlineStr">
        <is>
          <t>Avg 1M Fwd SOFR</t>
        </is>
      </c>
      <c r="D3" s="9" t="inlineStr">
        <is>
          <t>Avg All-in Rate</t>
        </is>
      </c>
    </row>
    <row r="4">
      <c r="A4" s="22" t="n">
        <v>2026</v>
      </c>
      <c r="B4" s="14">
        <f>COUNTIFS('Forward Curve'!$A$12:$A$132,"&gt;="&amp;DATE(A4,1,1),'Forward Curve'!$A$12:$A$132,"&lt;"&amp;DATE(A4+1,1,1))</f>
        <v/>
      </c>
      <c r="C4" s="15">
        <f>IFERROR(AVERAGEIFS('Forward Curve'!$D$12:$D$132,'Forward Curve'!$A$12:$A$132,"&gt;="&amp;DATE(A4,1,1),'Forward Curve'!$A$12:$A$132,"&lt;"&amp;DATE(A4+1,1,1)),"")</f>
        <v/>
      </c>
      <c r="D4" s="15">
        <f>IFERROR(AVERAGEIFS('Forward Curve'!$J$12:$J$132,'Forward Curve'!$A$12:$A$132,"&gt;="&amp;DATE(A4,1,1),'Forward Curve'!$A$12:$A$132,"&lt;"&amp;DATE(A4+1,1,1)),"")</f>
        <v/>
      </c>
    </row>
    <row r="5">
      <c r="A5" s="22" t="n">
        <v>2027</v>
      </c>
      <c r="B5" s="14">
        <f>COUNTIFS('Forward Curve'!$A$12:$A$132,"&gt;="&amp;DATE(A5,1,1),'Forward Curve'!$A$12:$A$132,"&lt;"&amp;DATE(A5+1,1,1))</f>
        <v/>
      </c>
      <c r="C5" s="15">
        <f>IFERROR(AVERAGEIFS('Forward Curve'!$D$12:$D$132,'Forward Curve'!$A$12:$A$132,"&gt;="&amp;DATE(A5,1,1),'Forward Curve'!$A$12:$A$132,"&lt;"&amp;DATE(A5+1,1,1)),"")</f>
        <v/>
      </c>
      <c r="D5" s="15">
        <f>IFERROR(AVERAGEIFS('Forward Curve'!$J$12:$J$132,'Forward Curve'!$A$12:$A$132,"&gt;="&amp;DATE(A5,1,1),'Forward Curve'!$A$12:$A$132,"&lt;"&amp;DATE(A5+1,1,1)),"")</f>
        <v/>
      </c>
    </row>
    <row r="6">
      <c r="A6" s="22" t="n">
        <v>2028</v>
      </c>
      <c r="B6" s="14">
        <f>COUNTIFS('Forward Curve'!$A$12:$A$132,"&gt;="&amp;DATE(A6,1,1),'Forward Curve'!$A$12:$A$132,"&lt;"&amp;DATE(A6+1,1,1))</f>
        <v/>
      </c>
      <c r="C6" s="15">
        <f>IFERROR(AVERAGEIFS('Forward Curve'!$D$12:$D$132,'Forward Curve'!$A$12:$A$132,"&gt;="&amp;DATE(A6,1,1),'Forward Curve'!$A$12:$A$132,"&lt;"&amp;DATE(A6+1,1,1)),"")</f>
        <v/>
      </c>
      <c r="D6" s="15">
        <f>IFERROR(AVERAGEIFS('Forward Curve'!$J$12:$J$132,'Forward Curve'!$A$12:$A$132,"&gt;="&amp;DATE(A6,1,1),'Forward Curve'!$A$12:$A$132,"&lt;"&amp;DATE(A6+1,1,1)),"")</f>
        <v/>
      </c>
    </row>
    <row r="7">
      <c r="A7" s="22" t="n">
        <v>2029</v>
      </c>
      <c r="B7" s="14">
        <f>COUNTIFS('Forward Curve'!$A$12:$A$132,"&gt;="&amp;DATE(A7,1,1),'Forward Curve'!$A$12:$A$132,"&lt;"&amp;DATE(A7+1,1,1))</f>
        <v/>
      </c>
      <c r="C7" s="15">
        <f>IFERROR(AVERAGEIFS('Forward Curve'!$D$12:$D$132,'Forward Curve'!$A$12:$A$132,"&gt;="&amp;DATE(A7,1,1),'Forward Curve'!$A$12:$A$132,"&lt;"&amp;DATE(A7+1,1,1)),"")</f>
        <v/>
      </c>
      <c r="D7" s="15">
        <f>IFERROR(AVERAGEIFS('Forward Curve'!$J$12:$J$132,'Forward Curve'!$A$12:$A$132,"&gt;="&amp;DATE(A7,1,1),'Forward Curve'!$A$12:$A$132,"&lt;"&amp;DATE(A7+1,1,1)),"")</f>
        <v/>
      </c>
    </row>
    <row r="8">
      <c r="A8" s="22" t="n">
        <v>2030</v>
      </c>
      <c r="B8" s="14">
        <f>COUNTIFS('Forward Curve'!$A$12:$A$132,"&gt;="&amp;DATE(A8,1,1),'Forward Curve'!$A$12:$A$132,"&lt;"&amp;DATE(A8+1,1,1))</f>
        <v/>
      </c>
      <c r="C8" s="15">
        <f>IFERROR(AVERAGEIFS('Forward Curve'!$D$12:$D$132,'Forward Curve'!$A$12:$A$132,"&gt;="&amp;DATE(A8,1,1),'Forward Curve'!$A$12:$A$132,"&lt;"&amp;DATE(A8+1,1,1)),"")</f>
        <v/>
      </c>
      <c r="D8" s="15">
        <f>IFERROR(AVERAGEIFS('Forward Curve'!$J$12:$J$132,'Forward Curve'!$A$12:$A$132,"&gt;="&amp;DATE(A8,1,1),'Forward Curve'!$A$12:$A$132,"&lt;"&amp;DATE(A8+1,1,1)),"")</f>
        <v/>
      </c>
    </row>
    <row r="9">
      <c r="A9" s="22" t="n">
        <v>2031</v>
      </c>
      <c r="B9" s="14">
        <f>COUNTIFS('Forward Curve'!$A$12:$A$132,"&gt;="&amp;DATE(A9,1,1),'Forward Curve'!$A$12:$A$132,"&lt;"&amp;DATE(A9+1,1,1))</f>
        <v/>
      </c>
      <c r="C9" s="15">
        <f>IFERROR(AVERAGEIFS('Forward Curve'!$D$12:$D$132,'Forward Curve'!$A$12:$A$132,"&gt;="&amp;DATE(A9,1,1),'Forward Curve'!$A$12:$A$132,"&lt;"&amp;DATE(A9+1,1,1)),"")</f>
        <v/>
      </c>
      <c r="D9" s="15">
        <f>IFERROR(AVERAGEIFS('Forward Curve'!$J$12:$J$132,'Forward Curve'!$A$12:$A$132,"&gt;="&amp;DATE(A9,1,1),'Forward Curve'!$A$12:$A$132,"&lt;"&amp;DATE(A9+1,1,1)),"")</f>
        <v/>
      </c>
    </row>
    <row r="10">
      <c r="A10" s="22" t="n">
        <v>2032</v>
      </c>
      <c r="B10" s="14">
        <f>COUNTIFS('Forward Curve'!$A$12:$A$132,"&gt;="&amp;DATE(A10,1,1),'Forward Curve'!$A$12:$A$132,"&lt;"&amp;DATE(A10+1,1,1))</f>
        <v/>
      </c>
      <c r="C10" s="15">
        <f>IFERROR(AVERAGEIFS('Forward Curve'!$D$12:$D$132,'Forward Curve'!$A$12:$A$132,"&gt;="&amp;DATE(A10,1,1),'Forward Curve'!$A$12:$A$132,"&lt;"&amp;DATE(A10+1,1,1)),"")</f>
        <v/>
      </c>
      <c r="D10" s="15">
        <f>IFERROR(AVERAGEIFS('Forward Curve'!$J$12:$J$132,'Forward Curve'!$A$12:$A$132,"&gt;="&amp;DATE(A10,1,1),'Forward Curve'!$A$12:$A$132,"&lt;"&amp;DATE(A10+1,1,1)),"")</f>
        <v/>
      </c>
    </row>
    <row r="11">
      <c r="A11" s="22" t="n">
        <v>2033</v>
      </c>
      <c r="B11" s="14">
        <f>COUNTIFS('Forward Curve'!$A$12:$A$132,"&gt;="&amp;DATE(A11,1,1),'Forward Curve'!$A$12:$A$132,"&lt;"&amp;DATE(A11+1,1,1))</f>
        <v/>
      </c>
      <c r="C11" s="15">
        <f>IFERROR(AVERAGEIFS('Forward Curve'!$D$12:$D$132,'Forward Curve'!$A$12:$A$132,"&gt;="&amp;DATE(A11,1,1),'Forward Curve'!$A$12:$A$132,"&lt;"&amp;DATE(A11+1,1,1)),"")</f>
        <v/>
      </c>
      <c r="D11" s="15">
        <f>IFERROR(AVERAGEIFS('Forward Curve'!$J$12:$J$132,'Forward Curve'!$A$12:$A$132,"&gt;="&amp;DATE(A11,1,1),'Forward Curve'!$A$12:$A$132,"&lt;"&amp;DATE(A11+1,1,1)),"")</f>
        <v/>
      </c>
    </row>
    <row r="12">
      <c r="A12" s="22" t="n">
        <v>2034</v>
      </c>
      <c r="B12" s="14">
        <f>COUNTIFS('Forward Curve'!$A$12:$A$132,"&gt;="&amp;DATE(A12,1,1),'Forward Curve'!$A$12:$A$132,"&lt;"&amp;DATE(A12+1,1,1))</f>
        <v/>
      </c>
      <c r="C12" s="15">
        <f>IFERROR(AVERAGEIFS('Forward Curve'!$D$12:$D$132,'Forward Curve'!$A$12:$A$132,"&gt;="&amp;DATE(A12,1,1),'Forward Curve'!$A$12:$A$132,"&lt;"&amp;DATE(A12+1,1,1)),"")</f>
        <v/>
      </c>
      <c r="D12" s="15">
        <f>IFERROR(AVERAGEIFS('Forward Curve'!$J$12:$J$132,'Forward Curve'!$A$12:$A$132,"&gt;="&amp;DATE(A12,1,1),'Forward Curve'!$A$12:$A$132,"&lt;"&amp;DATE(A12+1,1,1)),"")</f>
        <v/>
      </c>
    </row>
    <row r="13">
      <c r="A13" s="22" t="n">
        <v>2035</v>
      </c>
      <c r="B13" s="14">
        <f>COUNTIFS('Forward Curve'!$A$12:$A$132,"&gt;="&amp;DATE(A13,1,1),'Forward Curve'!$A$12:$A$132,"&lt;"&amp;DATE(A13+1,1,1))</f>
        <v/>
      </c>
      <c r="C13" s="15">
        <f>IFERROR(AVERAGEIFS('Forward Curve'!$D$12:$D$132,'Forward Curve'!$A$12:$A$132,"&gt;="&amp;DATE(A13,1,1),'Forward Curve'!$A$12:$A$132,"&lt;"&amp;DATE(A13+1,1,1)),"")</f>
        <v/>
      </c>
      <c r="D13" s="15">
        <f>IFERROR(AVERAGEIFS('Forward Curve'!$J$12:$J$132,'Forward Curve'!$A$12:$A$132,"&gt;="&amp;DATE(A13,1,1),'Forward Curve'!$A$12:$A$132,"&lt;"&amp;DATE(A13+1,1,1)),"")</f>
        <v/>
      </c>
    </row>
    <row r="14">
      <c r="A14" s="22" t="n">
        <v>2036</v>
      </c>
      <c r="B14" s="14">
        <f>COUNTIFS('Forward Curve'!$A$12:$A$132,"&gt;="&amp;DATE(A14,1,1),'Forward Curve'!$A$12:$A$132,"&lt;"&amp;DATE(A14+1,1,1))</f>
        <v/>
      </c>
      <c r="C14" s="15">
        <f>IFERROR(AVERAGEIFS('Forward Curve'!$D$12:$D$132,'Forward Curve'!$A$12:$A$132,"&gt;="&amp;DATE(A14,1,1),'Forward Curve'!$A$12:$A$132,"&lt;"&amp;DATE(A14+1,1,1)),"")</f>
        <v/>
      </c>
      <c r="D14" s="15">
        <f>IFERROR(AVERAGEIFS('Forward Curve'!$J$12:$J$132,'Forward Curve'!$A$12:$A$132,"&gt;="&amp;DATE(A14,1,1),'Forward Curve'!$A$12:$A$132,"&lt;"&amp;DATE(A14+1,1,1)),"")</f>
        <v/>
      </c>
    </row>
    <row r="16">
      <c r="A16" s="5" t="inlineStr">
        <is>
          <t>Years with fewer than 12 months are partial (curve starts in the current month).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2" t="inlineStr">
        <is>
          <t>CME SOFR futures settlements used in the fit (trade date 2026-10-16)</t>
        </is>
      </c>
    </row>
    <row r="3" ht="30" customHeight="1">
      <c r="A3" s="9" t="inlineStr">
        <is>
          <t>Contract</t>
        </is>
      </c>
      <c r="B3" s="9" t="inlineStr">
        <is>
          <t>Reference Start</t>
        </is>
      </c>
      <c r="C3" s="9" t="inlineStr">
        <is>
          <t>Reference End</t>
        </is>
      </c>
      <c r="D3" s="9" t="inlineStr">
        <is>
          <t>Settle</t>
        </is>
      </c>
      <c r="E3" s="9" t="inlineStr">
        <is>
          <t>Implied Rate</t>
        </is>
      </c>
      <c r="F3" s="9" t="inlineStr">
        <is>
          <t>Convexity (bp)</t>
        </is>
      </c>
      <c r="G3" s="9" t="inlineStr">
        <is>
          <t>Model Rate</t>
        </is>
      </c>
      <c r="H3" s="9" t="inlineStr">
        <is>
          <t>Residual (bp)</t>
        </is>
      </c>
      <c r="I3" s="9" t="inlineStr">
        <is>
          <t>Open Interest</t>
        </is>
      </c>
    </row>
    <row r="4">
      <c r="A4" s="14" t="inlineStr">
        <is>
          <t>SR3 JUL 26</t>
        </is>
      </c>
      <c r="B4" s="10" t="n">
        <v>46218</v>
      </c>
      <c r="C4" s="10" t="n">
        <v>46316</v>
      </c>
      <c r="D4" s="23" t="n">
        <v>96.2625</v>
      </c>
      <c r="E4" s="15">
        <f>(100-D4)/100</f>
        <v/>
      </c>
      <c r="F4" s="24" t="n">
        <v>0</v>
      </c>
      <c r="G4" s="12" t="n">
        <v>0.0373896</v>
      </c>
      <c r="H4" s="24" t="n">
        <v>0.146</v>
      </c>
      <c r="I4" s="25" t="n">
        <v>20743</v>
      </c>
    </row>
    <row r="5">
      <c r="A5" s="14" t="inlineStr">
        <is>
          <t>SR3 AUG 26</t>
        </is>
      </c>
      <c r="B5" s="10" t="n">
        <v>46253</v>
      </c>
      <c r="C5" s="10" t="n">
        <v>46344</v>
      </c>
      <c r="D5" s="23" t="n">
        <v>96.16500000000001</v>
      </c>
      <c r="E5" s="15">
        <f>(100-D5)/100</f>
        <v/>
      </c>
      <c r="F5" s="24" t="n">
        <v>0</v>
      </c>
      <c r="G5" s="12" t="n">
        <v>0.0383523</v>
      </c>
      <c r="H5" s="24" t="n">
        <v>0.023</v>
      </c>
      <c r="I5" s="25" t="n">
        <v>6448</v>
      </c>
    </row>
    <row r="6">
      <c r="A6" s="14" t="inlineStr">
        <is>
          <t>SR3 SEP 26</t>
        </is>
      </c>
      <c r="B6" s="10" t="n">
        <v>46281</v>
      </c>
      <c r="C6" s="10" t="n">
        <v>46372</v>
      </c>
      <c r="D6" s="23" t="n">
        <v>96.06</v>
      </c>
      <c r="E6" s="15">
        <f>(100-D6)/100</f>
        <v/>
      </c>
      <c r="F6" s="24" t="n">
        <v>0</v>
      </c>
      <c r="G6" s="12" t="n">
        <v>0.0394226</v>
      </c>
      <c r="H6" s="24" t="n">
        <v>0.226</v>
      </c>
      <c r="I6" s="25" t="n">
        <v>1328168</v>
      </c>
    </row>
    <row r="7">
      <c r="A7" s="14" t="inlineStr">
        <is>
          <t>SR1 OCT 26</t>
        </is>
      </c>
      <c r="B7" s="10" t="n">
        <v>46296</v>
      </c>
      <c r="C7" s="10" t="n">
        <v>46327</v>
      </c>
      <c r="D7" s="23" t="n">
        <v>96.11</v>
      </c>
      <c r="E7" s="15">
        <f>(100-D7)/100</f>
        <v/>
      </c>
      <c r="F7" s="24" t="n">
        <v>0</v>
      </c>
      <c r="G7" s="12" t="n">
        <v>0.0388812</v>
      </c>
      <c r="H7" s="24" t="n">
        <v>-0.188</v>
      </c>
      <c r="I7" s="25" t="n">
        <v>342282</v>
      </c>
    </row>
    <row r="8">
      <c r="A8" s="14" t="inlineStr">
        <is>
          <t>SR3 OCT 26</t>
        </is>
      </c>
      <c r="B8" s="10" t="n">
        <v>46316</v>
      </c>
      <c r="C8" s="10" t="n">
        <v>46407</v>
      </c>
      <c r="D8" s="23" t="n">
        <v>95.94</v>
      </c>
      <c r="E8" s="15">
        <f>(100-D8)/100</f>
        <v/>
      </c>
      <c r="F8" s="24" t="n">
        <v>0</v>
      </c>
      <c r="G8" s="12" t="n">
        <v>0.0405791</v>
      </c>
      <c r="H8" s="24" t="n">
        <v>-0.209</v>
      </c>
      <c r="I8" s="25" t="n">
        <v>5699</v>
      </c>
    </row>
    <row r="9">
      <c r="A9" s="14" t="inlineStr">
        <is>
          <t>SR1 NOV 26</t>
        </is>
      </c>
      <c r="B9" s="10" t="n">
        <v>46327</v>
      </c>
      <c r="C9" s="10" t="n">
        <v>46357</v>
      </c>
      <c r="D9" s="23" t="n">
        <v>96.065</v>
      </c>
      <c r="E9" s="15">
        <f>(100-D9)/100</f>
        <v/>
      </c>
      <c r="F9" s="24" t="n">
        <v>0</v>
      </c>
      <c r="G9" s="12" t="n">
        <v>0.0393828</v>
      </c>
      <c r="H9" s="24" t="n">
        <v>0.328</v>
      </c>
      <c r="I9" s="25" t="n">
        <v>277312</v>
      </c>
    </row>
    <row r="10">
      <c r="A10" s="14" t="inlineStr">
        <is>
          <t>SR3 NOV 26</t>
        </is>
      </c>
      <c r="B10" s="10" t="n">
        <v>46344</v>
      </c>
      <c r="C10" s="10" t="n">
        <v>46435</v>
      </c>
      <c r="D10" s="23" t="n">
        <v>95.845</v>
      </c>
      <c r="E10" s="15">
        <f>(100-D10)/100</f>
        <v/>
      </c>
      <c r="F10" s="24" t="n">
        <v>0.01</v>
      </c>
      <c r="G10" s="12" t="n">
        <v>0.0415146</v>
      </c>
      <c r="H10" s="24" t="n">
        <v>-0.354</v>
      </c>
      <c r="I10" s="25" t="n">
        <v>2587</v>
      </c>
    </row>
    <row r="11">
      <c r="A11" s="14" t="inlineStr">
        <is>
          <t>SR1 DEC 26</t>
        </is>
      </c>
      <c r="B11" s="10" t="n">
        <v>46357</v>
      </c>
      <c r="C11" s="10" t="n">
        <v>46388</v>
      </c>
      <c r="D11" s="23" t="n">
        <v>95.895</v>
      </c>
      <c r="E11" s="15">
        <f>(100-D11)/100</f>
        <v/>
      </c>
      <c r="F11" s="24" t="n">
        <v>0.01</v>
      </c>
      <c r="G11" s="12" t="n">
        <v>0.0410215</v>
      </c>
      <c r="H11" s="24" t="n">
        <v>-0.285</v>
      </c>
      <c r="I11" s="25" t="n">
        <v>216719</v>
      </c>
    </row>
    <row r="12">
      <c r="A12" s="14" t="inlineStr">
        <is>
          <t>SR3 DEC 26</t>
        </is>
      </c>
      <c r="B12" s="10" t="n">
        <v>46372</v>
      </c>
      <c r="C12" s="10" t="n">
        <v>46463</v>
      </c>
      <c r="D12" s="23" t="n">
        <v>95.77500000000001</v>
      </c>
      <c r="E12" s="15">
        <f>(100-D12)/100</f>
        <v/>
      </c>
      <c r="F12" s="24" t="n">
        <v>0.03</v>
      </c>
      <c r="G12" s="12" t="n">
        <v>0.04231989999999999</v>
      </c>
      <c r="H12" s="24" t="n">
        <v>0.699</v>
      </c>
      <c r="I12" s="25" t="n">
        <v>1496875</v>
      </c>
    </row>
    <row r="13">
      <c r="A13" s="14" t="inlineStr">
        <is>
          <t>SR1 JAN 27</t>
        </is>
      </c>
      <c r="B13" s="10" t="n">
        <v>46388</v>
      </c>
      <c r="C13" s="10" t="n">
        <v>46419</v>
      </c>
      <c r="D13" s="23" t="n">
        <v>95.81999999999999</v>
      </c>
      <c r="E13" s="15">
        <f>(100-D13)/100</f>
        <v/>
      </c>
      <c r="F13" s="24" t="n">
        <v>0.03</v>
      </c>
      <c r="G13" s="12" t="n">
        <v>0.0417926</v>
      </c>
      <c r="H13" s="24" t="n">
        <v>-0.074</v>
      </c>
      <c r="I13" s="25" t="n">
        <v>177293</v>
      </c>
    </row>
    <row r="14">
      <c r="A14" s="14" t="inlineStr">
        <is>
          <t>SR3 JAN 27</t>
        </is>
      </c>
      <c r="B14" s="10" t="n">
        <v>46407</v>
      </c>
      <c r="C14" s="10" t="n">
        <v>46498</v>
      </c>
      <c r="D14" s="23" t="n">
        <v>95.68000000000001</v>
      </c>
      <c r="E14" s="15">
        <f>(100-D14)/100</f>
        <v/>
      </c>
      <c r="F14" s="24" t="n">
        <v>0.05</v>
      </c>
      <c r="G14" s="12" t="n">
        <v>0.0432386</v>
      </c>
      <c r="H14" s="24" t="n">
        <v>0.386</v>
      </c>
      <c r="I14" s="25" t="n">
        <v>1108</v>
      </c>
    </row>
    <row r="15">
      <c r="A15" s="14" t="inlineStr">
        <is>
          <t>SR1 FEB 27</t>
        </is>
      </c>
      <c r="B15" s="10" t="n">
        <v>46419</v>
      </c>
      <c r="C15" s="10" t="n">
        <v>46447</v>
      </c>
      <c r="D15" s="23" t="n">
        <v>95.75</v>
      </c>
      <c r="E15" s="15">
        <f>(100-D15)/100</f>
        <v/>
      </c>
      <c r="F15" s="24" t="n">
        <v>0.04</v>
      </c>
      <c r="G15" s="12" t="n">
        <v>0.0424667</v>
      </c>
      <c r="H15" s="24" t="n">
        <v>-0.333</v>
      </c>
      <c r="I15" s="25" t="n">
        <v>106292</v>
      </c>
    </row>
    <row r="16">
      <c r="A16" s="14" t="inlineStr">
        <is>
          <t>SR3 FEB 27</t>
        </is>
      </c>
      <c r="B16" s="10" t="n">
        <v>46435</v>
      </c>
      <c r="C16" s="10" t="n">
        <v>46526</v>
      </c>
      <c r="D16" s="23" t="n">
        <v>95.605</v>
      </c>
      <c r="E16" s="15">
        <f>(100-D16)/100</f>
        <v/>
      </c>
      <c r="F16" s="24" t="n">
        <v>0.08</v>
      </c>
      <c r="G16" s="12" t="n">
        <v>0.04401239999999999</v>
      </c>
      <c r="H16" s="24" t="n">
        <v>0.624</v>
      </c>
      <c r="I16" s="25" t="n">
        <v>543</v>
      </c>
    </row>
    <row r="17">
      <c r="A17" s="14" t="inlineStr">
        <is>
          <t>SR1 MAR 27</t>
        </is>
      </c>
      <c r="B17" s="10" t="n">
        <v>46447</v>
      </c>
      <c r="C17" s="10" t="n">
        <v>46478</v>
      </c>
      <c r="D17" s="23" t="n">
        <v>95.675</v>
      </c>
      <c r="E17" s="15">
        <f>(100-D17)/100</f>
        <v/>
      </c>
      <c r="F17" s="24" t="n">
        <v>0.07000000000000001</v>
      </c>
      <c r="G17" s="12" t="n">
        <v>0.0432057</v>
      </c>
      <c r="H17" s="24" t="n">
        <v>-0.443</v>
      </c>
      <c r="I17" s="25" t="n">
        <v>32811</v>
      </c>
    </row>
    <row r="18">
      <c r="A18" s="14" t="inlineStr">
        <is>
          <t>SR3 MAR 27</t>
        </is>
      </c>
      <c r="B18" s="10" t="n">
        <v>46463</v>
      </c>
      <c r="C18" s="10" t="n">
        <v>46554</v>
      </c>
      <c r="D18" s="23" t="n">
        <v>95.515</v>
      </c>
      <c r="E18" s="15">
        <f>(100-D18)/100</f>
        <v/>
      </c>
      <c r="F18" s="24" t="n">
        <v>0.11</v>
      </c>
      <c r="G18" s="12" t="n">
        <v>0.04486</v>
      </c>
      <c r="H18" s="24" t="n">
        <v>0.1</v>
      </c>
      <c r="I18" s="25" t="n">
        <v>1315709</v>
      </c>
    </row>
    <row r="19">
      <c r="A19" s="14" t="inlineStr">
        <is>
          <t>SR1 APR 27</t>
        </is>
      </c>
      <c r="B19" s="10" t="n">
        <v>46478</v>
      </c>
      <c r="C19" s="10" t="n">
        <v>46508</v>
      </c>
      <c r="D19" s="23" t="n">
        <v>95.58</v>
      </c>
      <c r="E19" s="15">
        <f>(100-D19)/100</f>
        <v/>
      </c>
      <c r="F19" s="24" t="n">
        <v>0.1</v>
      </c>
      <c r="G19" s="12" t="n">
        <v>0.0441618</v>
      </c>
      <c r="H19" s="24" t="n">
        <v>-0.382</v>
      </c>
      <c r="I19" s="25" t="n">
        <v>54556</v>
      </c>
    </row>
    <row r="20">
      <c r="A20" s="14" t="inlineStr">
        <is>
          <t>SR1 MAY 27</t>
        </is>
      </c>
      <c r="B20" s="10" t="n">
        <v>46508</v>
      </c>
      <c r="C20" s="10" t="n">
        <v>46539</v>
      </c>
      <c r="D20" s="23" t="n">
        <v>95.5</v>
      </c>
      <c r="E20" s="15">
        <f>(100-D20)/100</f>
        <v/>
      </c>
      <c r="F20" s="24" t="n">
        <v>0.13</v>
      </c>
      <c r="G20" s="12" t="n">
        <v>0.0449849</v>
      </c>
      <c r="H20" s="24" t="n">
        <v>-0.151</v>
      </c>
      <c r="I20" s="25" t="n">
        <v>69221</v>
      </c>
    </row>
    <row r="21">
      <c r="A21" s="14" t="inlineStr">
        <is>
          <t>SR1 JUN 27</t>
        </is>
      </c>
      <c r="B21" s="10" t="n">
        <v>46539</v>
      </c>
      <c r="C21" s="10" t="n">
        <v>46569</v>
      </c>
      <c r="D21" s="23" t="n">
        <v>95.435</v>
      </c>
      <c r="E21" s="15">
        <f>(100-D21)/100</f>
        <v/>
      </c>
      <c r="F21" s="24" t="n">
        <v>0.18</v>
      </c>
      <c r="G21" s="12" t="n">
        <v>0.0456633</v>
      </c>
      <c r="H21" s="24" t="n">
        <v>0.133</v>
      </c>
      <c r="I21" s="25" t="n">
        <v>21302</v>
      </c>
    </row>
    <row r="22">
      <c r="A22" s="14" t="inlineStr">
        <is>
          <t>SR3 JUN 27</t>
        </is>
      </c>
      <c r="B22" s="10" t="n">
        <v>46554</v>
      </c>
      <c r="C22" s="10" t="n">
        <v>46645</v>
      </c>
      <c r="D22" s="23" t="n">
        <v>95.36499999999999</v>
      </c>
      <c r="E22" s="15">
        <f>(100-D22)/100</f>
        <v/>
      </c>
      <c r="F22" s="24" t="n">
        <v>0.24</v>
      </c>
      <c r="G22" s="12" t="n">
        <v>0.0463546</v>
      </c>
      <c r="H22" s="24" t="n">
        <v>0.046</v>
      </c>
      <c r="I22" s="25" t="n">
        <v>1303344</v>
      </c>
    </row>
    <row r="23">
      <c r="A23" s="14" t="inlineStr">
        <is>
          <t>SR1 JUL 27</t>
        </is>
      </c>
      <c r="B23" s="10" t="n">
        <v>46569</v>
      </c>
      <c r="C23" s="10" t="n">
        <v>46600</v>
      </c>
      <c r="D23" s="23" t="n">
        <v>95.40000000000001</v>
      </c>
      <c r="E23" s="15">
        <f>(100-D23)/100</f>
        <v/>
      </c>
      <c r="F23" s="24" t="n">
        <v>0.22</v>
      </c>
      <c r="G23" s="12" t="n">
        <v>0.0459813</v>
      </c>
      <c r="H23" s="24" t="n">
        <v>-0.187</v>
      </c>
      <c r="I23" s="25" t="n">
        <v>36906</v>
      </c>
    </row>
    <row r="24">
      <c r="A24" s="14" t="inlineStr">
        <is>
          <t>SR1 AUG 27</t>
        </is>
      </c>
      <c r="B24" s="10" t="n">
        <v>46600</v>
      </c>
      <c r="C24" s="10" t="n">
        <v>46631</v>
      </c>
      <c r="D24" s="23" t="n">
        <v>95.38</v>
      </c>
      <c r="E24" s="15">
        <f>(100-D24)/100</f>
        <v/>
      </c>
      <c r="F24" s="24" t="n">
        <v>0.27</v>
      </c>
      <c r="G24" s="12" t="n">
        <v>0.0462136</v>
      </c>
      <c r="H24" s="24" t="n">
        <v>0.136</v>
      </c>
      <c r="I24" s="25" t="n">
        <v>18252</v>
      </c>
    </row>
    <row r="25">
      <c r="A25" s="14" t="inlineStr">
        <is>
          <t>SR1 SEP 27</t>
        </is>
      </c>
      <c r="B25" s="10" t="n">
        <v>46631</v>
      </c>
      <c r="C25" s="10" t="n">
        <v>46661</v>
      </c>
      <c r="D25" s="23" t="n">
        <v>95.36</v>
      </c>
      <c r="E25" s="15">
        <f>(100-D25)/100</f>
        <v/>
      </c>
      <c r="F25" s="24" t="n">
        <v>0.33</v>
      </c>
      <c r="G25" s="12" t="n">
        <v>0.0463776</v>
      </c>
      <c r="H25" s="24" t="n">
        <v>-0.224</v>
      </c>
      <c r="I25" s="25" t="n">
        <v>4939</v>
      </c>
    </row>
    <row r="26">
      <c r="A26" s="14" t="inlineStr">
        <is>
          <t>SR3 SEP 27</t>
        </is>
      </c>
      <c r="B26" s="10" t="n">
        <v>46645</v>
      </c>
      <c r="C26" s="10" t="n">
        <v>46736</v>
      </c>
      <c r="D26" s="23" t="n">
        <v>95.325</v>
      </c>
      <c r="E26" s="15">
        <f>(100-D26)/100</f>
        <v/>
      </c>
      <c r="F26" s="24" t="n">
        <v>0.42</v>
      </c>
      <c r="G26" s="12" t="n">
        <v>0.0467889</v>
      </c>
      <c r="H26" s="24" t="n">
        <v>0.389</v>
      </c>
      <c r="I26" s="25" t="n">
        <v>1078682</v>
      </c>
    </row>
    <row r="27">
      <c r="A27" s="14" t="inlineStr">
        <is>
          <t>SR1 OCT 27</t>
        </is>
      </c>
      <c r="B27" s="10" t="n">
        <v>46661</v>
      </c>
      <c r="C27" s="10" t="n">
        <v>46692</v>
      </c>
      <c r="D27" s="23" t="n">
        <v>95.345</v>
      </c>
      <c r="E27" s="15">
        <f>(100-D27)/100</f>
        <v/>
      </c>
      <c r="F27" s="24" t="n">
        <v>0.39</v>
      </c>
      <c r="G27" s="12" t="n">
        <v>0.04654</v>
      </c>
      <c r="H27" s="24" t="n">
        <v>-0.1</v>
      </c>
      <c r="I27" s="25" t="n">
        <v>6525</v>
      </c>
    </row>
    <row r="28">
      <c r="A28" s="14" t="inlineStr">
        <is>
          <t>SR1 NOV 27</t>
        </is>
      </c>
      <c r="B28" s="10" t="n">
        <v>46692</v>
      </c>
      <c r="C28" s="10" t="n">
        <v>46722</v>
      </c>
      <c r="D28" s="23" t="n">
        <v>95.345</v>
      </c>
      <c r="E28" s="15">
        <f>(100-D28)/100</f>
        <v/>
      </c>
      <c r="F28" s="24" t="n">
        <v>0.46</v>
      </c>
      <c r="G28" s="12" t="n">
        <v>0.0465327</v>
      </c>
      <c r="H28" s="24" t="n">
        <v>-0.173</v>
      </c>
      <c r="I28" s="25" t="n">
        <v>1766</v>
      </c>
    </row>
    <row r="29">
      <c r="A29" s="14" t="inlineStr">
        <is>
          <t>SR3 DEC 27</t>
        </is>
      </c>
      <c r="B29" s="10" t="n">
        <v>46736</v>
      </c>
      <c r="C29" s="10" t="n">
        <v>46827</v>
      </c>
      <c r="D29" s="23" t="n">
        <v>95.34</v>
      </c>
      <c r="E29" s="15">
        <f>(100-D29)/100</f>
        <v/>
      </c>
      <c r="F29" s="24" t="n">
        <v>0.64</v>
      </c>
      <c r="G29" s="12" t="n">
        <v>0.0465976</v>
      </c>
      <c r="H29" s="24" t="n">
        <v>-0.024</v>
      </c>
      <c r="I29" s="25" t="n">
        <v>1664856</v>
      </c>
    </row>
    <row r="30">
      <c r="A30" s="14" t="inlineStr">
        <is>
          <t>SR3 MAR 28</t>
        </is>
      </c>
      <c r="B30" s="10" t="n">
        <v>46827</v>
      </c>
      <c r="C30" s="10" t="n">
        <v>46925</v>
      </c>
      <c r="D30" s="23" t="n">
        <v>95.34999999999999</v>
      </c>
      <c r="E30" s="15">
        <f>(100-D30)/100</f>
        <v/>
      </c>
      <c r="F30" s="24" t="n">
        <v>0.92</v>
      </c>
      <c r="G30" s="12" t="n">
        <v>0.0465015</v>
      </c>
      <c r="H30" s="24" t="n">
        <v>0.015</v>
      </c>
      <c r="I30" s="25" t="n">
        <v>813255</v>
      </c>
    </row>
    <row r="31">
      <c r="A31" s="14" t="inlineStr">
        <is>
          <t>SR3 JUN 28</t>
        </is>
      </c>
      <c r="B31" s="10" t="n">
        <v>46925</v>
      </c>
      <c r="C31" s="10" t="n">
        <v>47016</v>
      </c>
      <c r="D31" s="23" t="n">
        <v>95.355</v>
      </c>
      <c r="E31" s="15">
        <f>(100-D31)/100</f>
        <v/>
      </c>
      <c r="F31" s="24" t="n">
        <v>1.25</v>
      </c>
      <c r="G31" s="12" t="n">
        <v>0.0464493</v>
      </c>
      <c r="H31" s="24" t="n">
        <v>-0.007</v>
      </c>
      <c r="I31" s="25" t="n">
        <v>645271</v>
      </c>
    </row>
    <row r="32">
      <c r="A32" s="14" t="inlineStr">
        <is>
          <t>SR3 SEP 28</t>
        </is>
      </c>
      <c r="B32" s="10" t="n">
        <v>47016</v>
      </c>
      <c r="C32" s="10" t="n">
        <v>47107</v>
      </c>
      <c r="D32" s="23" t="n">
        <v>95.36</v>
      </c>
      <c r="E32" s="15">
        <f>(100-D32)/100</f>
        <v/>
      </c>
      <c r="F32" s="24" t="n">
        <v>1.6</v>
      </c>
      <c r="G32" s="12" t="n">
        <v>0.0464004</v>
      </c>
      <c r="H32" s="24" t="n">
        <v>0.004</v>
      </c>
      <c r="I32" s="25" t="n">
        <v>670842</v>
      </c>
    </row>
    <row r="33">
      <c r="A33" s="14" t="inlineStr">
        <is>
          <t>SR3 DEC 28</t>
        </is>
      </c>
      <c r="B33" s="10" t="n">
        <v>47107</v>
      </c>
      <c r="C33" s="10" t="n">
        <v>47198</v>
      </c>
      <c r="D33" s="23" t="n">
        <v>95.37</v>
      </c>
      <c r="E33" s="15">
        <f>(100-D33)/100</f>
        <v/>
      </c>
      <c r="F33" s="24" t="n">
        <v>2</v>
      </c>
      <c r="G33" s="12" t="n">
        <v>0.0462983</v>
      </c>
      <c r="H33" s="24" t="n">
        <v>-0.017</v>
      </c>
      <c r="I33" s="25" t="n">
        <v>551719</v>
      </c>
    </row>
    <row r="34">
      <c r="A34" s="14" t="inlineStr">
        <is>
          <t>SR3 MAR 29</t>
        </is>
      </c>
      <c r="B34" s="10" t="n">
        <v>47198</v>
      </c>
      <c r="C34" s="10" t="n">
        <v>47289</v>
      </c>
      <c r="D34" s="23" t="n">
        <v>95.38500000000001</v>
      </c>
      <c r="E34" s="15">
        <f>(100-D34)/100</f>
        <v/>
      </c>
      <c r="F34" s="24" t="n">
        <v>2.44</v>
      </c>
      <c r="G34" s="12" t="n">
        <v>0.0461513</v>
      </c>
      <c r="H34" s="24" t="n">
        <v>0.013</v>
      </c>
      <c r="I34" s="25" t="n">
        <v>379761</v>
      </c>
    </row>
    <row r="35">
      <c r="A35" s="14" t="inlineStr">
        <is>
          <t>SR3 JUN 29</t>
        </is>
      </c>
      <c r="B35" s="10" t="n">
        <v>47289</v>
      </c>
      <c r="C35" s="10" t="n">
        <v>47380</v>
      </c>
      <c r="D35" s="23" t="n">
        <v>95.395</v>
      </c>
      <c r="E35" s="15">
        <f>(100-D35)/100</f>
        <v/>
      </c>
      <c r="F35" s="24" t="n">
        <v>2.92</v>
      </c>
      <c r="G35" s="12" t="n">
        <v>0.04605139999999999</v>
      </c>
      <c r="H35" s="24" t="n">
        <v>0.014</v>
      </c>
      <c r="I35" s="25" t="n">
        <v>375406</v>
      </c>
    </row>
    <row r="36">
      <c r="A36" s="14" t="inlineStr">
        <is>
          <t>SR3 SEP 29</t>
        </is>
      </c>
      <c r="B36" s="10" t="n">
        <v>47380</v>
      </c>
      <c r="C36" s="10" t="n">
        <v>47471</v>
      </c>
      <c r="D36" s="23" t="n">
        <v>95.40000000000001</v>
      </c>
      <c r="E36" s="15">
        <f>(100-D36)/100</f>
        <v/>
      </c>
      <c r="F36" s="24" t="n">
        <v>3.44</v>
      </c>
      <c r="G36" s="12" t="n">
        <v>0.04599610000000001</v>
      </c>
      <c r="H36" s="24" t="n">
        <v>-0.039</v>
      </c>
      <c r="I36" s="25" t="n">
        <v>296315</v>
      </c>
    </row>
    <row r="37">
      <c r="A37" s="14" t="inlineStr">
        <is>
          <t>SR3 DEC 29</t>
        </is>
      </c>
      <c r="B37" s="10" t="n">
        <v>47471</v>
      </c>
      <c r="C37" s="10" t="n">
        <v>47562</v>
      </c>
      <c r="D37" s="23" t="n">
        <v>95.405</v>
      </c>
      <c r="E37" s="15">
        <f>(100-D37)/100</f>
        <v/>
      </c>
      <c r="F37" s="24" t="n">
        <v>4</v>
      </c>
      <c r="G37" s="12" t="n">
        <v>0.0459553</v>
      </c>
      <c r="H37" s="24" t="n">
        <v>0.053</v>
      </c>
      <c r="I37" s="25" t="n">
        <v>264235</v>
      </c>
    </row>
    <row r="38">
      <c r="A38" s="14" t="inlineStr">
        <is>
          <t>SR3 MAR 30</t>
        </is>
      </c>
      <c r="B38" s="10" t="n">
        <v>47562</v>
      </c>
      <c r="C38" s="10" t="n">
        <v>47653</v>
      </c>
      <c r="D38" s="23" t="n">
        <v>95.40000000000001</v>
      </c>
      <c r="E38" s="15">
        <f>(100-D38)/100</f>
        <v/>
      </c>
      <c r="F38" s="24" t="n">
        <v>4.59</v>
      </c>
      <c r="G38" s="12" t="n">
        <v>0.0459944</v>
      </c>
      <c r="H38" s="24" t="n">
        <v>-0.056</v>
      </c>
      <c r="I38" s="25" t="n">
        <v>183343</v>
      </c>
    </row>
    <row r="39">
      <c r="A39" s="14" t="inlineStr">
        <is>
          <t>SR3 JUN 30</t>
        </is>
      </c>
      <c r="B39" s="10" t="n">
        <v>47653</v>
      </c>
      <c r="C39" s="10" t="n">
        <v>47744</v>
      </c>
      <c r="D39" s="23" t="n">
        <v>95.395</v>
      </c>
      <c r="E39" s="15">
        <f>(100-D39)/100</f>
        <v/>
      </c>
      <c r="F39" s="24" t="n">
        <v>5.22</v>
      </c>
      <c r="G39" s="12" t="n">
        <v>0.0460555</v>
      </c>
      <c r="H39" s="24" t="n">
        <v>0.055</v>
      </c>
      <c r="I39" s="25" t="n">
        <v>160372</v>
      </c>
    </row>
    <row r="40">
      <c r="A40" s="14" t="inlineStr">
        <is>
          <t>SR3 SEP 30</t>
        </is>
      </c>
      <c r="B40" s="10" t="n">
        <v>47744</v>
      </c>
      <c r="C40" s="10" t="n">
        <v>47835</v>
      </c>
      <c r="D40" s="23" t="n">
        <v>95.38</v>
      </c>
      <c r="E40" s="15">
        <f>(100-D40)/100</f>
        <v/>
      </c>
      <c r="F40" s="24" t="n">
        <v>5.89</v>
      </c>
      <c r="G40" s="12" t="n">
        <v>0.0461951</v>
      </c>
      <c r="H40" s="24" t="n">
        <v>-0.049</v>
      </c>
      <c r="I40" s="25" t="n">
        <v>142302</v>
      </c>
    </row>
    <row r="41">
      <c r="A41" s="14" t="inlineStr">
        <is>
          <t>SR3 DEC 30</t>
        </is>
      </c>
      <c r="B41" s="10" t="n">
        <v>47835</v>
      </c>
      <c r="C41" s="10" t="n">
        <v>47926</v>
      </c>
      <c r="D41" s="23" t="n">
        <v>95.36499999999999</v>
      </c>
      <c r="E41" s="15">
        <f>(100-D41)/100</f>
        <v/>
      </c>
      <c r="F41" s="24" t="n">
        <v>6.58</v>
      </c>
      <c r="G41" s="12" t="n">
        <v>0.0463532</v>
      </c>
      <c r="H41" s="24" t="n">
        <v>0.032</v>
      </c>
      <c r="I41" s="25" t="n">
        <v>113555</v>
      </c>
    </row>
    <row r="42">
      <c r="A42" s="14" t="inlineStr">
        <is>
          <t>SR3 MAR 31</t>
        </is>
      </c>
      <c r="B42" s="10" t="n">
        <v>47926</v>
      </c>
      <c r="C42" s="10" t="n">
        <v>48017</v>
      </c>
      <c r="D42" s="23" t="n">
        <v>95.34</v>
      </c>
      <c r="E42" s="15">
        <f>(100-D42)/100</f>
        <v/>
      </c>
      <c r="F42" s="24" t="n">
        <v>7.32</v>
      </c>
      <c r="G42" s="12" t="n">
        <v>0.0465995</v>
      </c>
      <c r="H42" s="24" t="n">
        <v>-0.005</v>
      </c>
      <c r="I42" s="25" t="n">
        <v>83586</v>
      </c>
    </row>
    <row r="43">
      <c r="A43" s="14" t="inlineStr">
        <is>
          <t>SR3 JUN 31</t>
        </is>
      </c>
      <c r="B43" s="10" t="n">
        <v>48017</v>
      </c>
      <c r="C43" s="10" t="n">
        <v>48108</v>
      </c>
      <c r="D43" s="23" t="n">
        <v>95.31</v>
      </c>
      <c r="E43" s="15">
        <f>(100-D43)/100</f>
        <v/>
      </c>
      <c r="F43" s="24" t="n">
        <v>8.08</v>
      </c>
      <c r="G43" s="12" t="n">
        <v>0.0468995</v>
      </c>
      <c r="H43" s="24" t="n">
        <v>-0.005</v>
      </c>
      <c r="I43" s="25" t="n">
        <v>66369</v>
      </c>
    </row>
    <row r="44">
      <c r="A44" s="14" t="inlineStr">
        <is>
          <t>SR3 SEP 31</t>
        </is>
      </c>
      <c r="B44" s="10" t="n">
        <v>48108</v>
      </c>
      <c r="C44" s="10" t="n">
        <v>48199</v>
      </c>
      <c r="D44" s="23" t="n">
        <v>95.28</v>
      </c>
      <c r="E44" s="15">
        <f>(100-D44)/100</f>
        <v/>
      </c>
      <c r="F44" s="24" t="n">
        <v>8.880000000000001</v>
      </c>
      <c r="G44" s="12" t="n">
        <v>0.0471997</v>
      </c>
      <c r="H44" s="24" t="n">
        <v>-0.003</v>
      </c>
      <c r="I44" s="25" t="n">
        <v>31860</v>
      </c>
    </row>
    <row r="45">
      <c r="A45" s="14" t="inlineStr">
        <is>
          <t>SR3 DEC 31</t>
        </is>
      </c>
      <c r="B45" s="10" t="n">
        <v>48199</v>
      </c>
      <c r="C45" s="10" t="n">
        <v>48290</v>
      </c>
      <c r="D45" s="23" t="n">
        <v>95.25</v>
      </c>
      <c r="E45" s="15">
        <f>(100-D45)/100</f>
        <v/>
      </c>
      <c r="F45" s="24" t="n">
        <v>9.710000000000001</v>
      </c>
      <c r="G45" s="12" t="n">
        <v>0.0475017</v>
      </c>
      <c r="H45" s="24" t="n">
        <v>0.017</v>
      </c>
      <c r="I45" s="25" t="n">
        <v>5841</v>
      </c>
    </row>
    <row r="46">
      <c r="A46" s="14" t="inlineStr">
        <is>
          <t>SR3 MAR 32</t>
        </is>
      </c>
      <c r="B46" s="10" t="n">
        <v>48290</v>
      </c>
      <c r="C46" s="10" t="n">
        <v>48381</v>
      </c>
      <c r="D46" s="23" t="n">
        <v>95.22</v>
      </c>
      <c r="E46" s="15">
        <f>(100-D46)/100</f>
        <v/>
      </c>
      <c r="F46" s="24" t="n">
        <v>10.57</v>
      </c>
      <c r="G46" s="12" t="n">
        <v>0.0477962</v>
      </c>
      <c r="H46" s="24" t="n">
        <v>-0.038</v>
      </c>
      <c r="I46" s="25" t="n">
        <v>1665</v>
      </c>
    </row>
    <row r="47">
      <c r="A47" s="14" t="inlineStr">
        <is>
          <t>SR3 JUN 32</t>
        </is>
      </c>
      <c r="B47" s="10" t="n">
        <v>48381</v>
      </c>
      <c r="C47" s="10" t="n">
        <v>48472</v>
      </c>
      <c r="D47" s="23" t="n">
        <v>95.19499999999999</v>
      </c>
      <c r="E47" s="15">
        <f>(100-D47)/100</f>
        <v/>
      </c>
      <c r="F47" s="24" t="n">
        <v>11.46</v>
      </c>
      <c r="G47" s="12" t="n">
        <v>0.04805519999999999</v>
      </c>
      <c r="H47" s="24" t="n">
        <v>0.052</v>
      </c>
      <c r="I47" s="25" t="n">
        <v>766</v>
      </c>
    </row>
    <row r="48">
      <c r="A48" s="14" t="inlineStr">
        <is>
          <t>SR3 SEP 32</t>
        </is>
      </c>
      <c r="B48" s="10" t="n">
        <v>48472</v>
      </c>
      <c r="C48" s="10" t="n">
        <v>48563</v>
      </c>
      <c r="D48" s="23" t="n">
        <v>95.16500000000001</v>
      </c>
      <c r="E48" s="15">
        <f>(100-D48)/100</f>
        <v/>
      </c>
      <c r="F48" s="24" t="n">
        <v>12.37</v>
      </c>
      <c r="G48" s="12" t="n">
        <v>0.0483443</v>
      </c>
      <c r="H48" s="24" t="n">
        <v>-0.057</v>
      </c>
      <c r="I48" s="25" t="n">
        <v>573</v>
      </c>
    </row>
    <row r="49">
      <c r="A49" s="14" t="inlineStr">
        <is>
          <t>SR3 DEC 32</t>
        </is>
      </c>
      <c r="B49" s="10" t="n">
        <v>48563</v>
      </c>
      <c r="C49" s="10" t="n">
        <v>48654</v>
      </c>
      <c r="D49" s="23" t="n">
        <v>95.14</v>
      </c>
      <c r="E49" s="15">
        <f>(100-D49)/100</f>
        <v/>
      </c>
      <c r="F49" s="24" t="n">
        <v>13.32</v>
      </c>
      <c r="G49" s="12" t="n">
        <v>0.048606</v>
      </c>
      <c r="H49" s="24" t="n">
        <v>0.06</v>
      </c>
      <c r="I49" s="25" t="n">
        <v>164</v>
      </c>
    </row>
    <row r="50">
      <c r="A50" s="14" t="inlineStr">
        <is>
          <t>SR3 MAR 33</t>
        </is>
      </c>
      <c r="B50" s="10" t="n">
        <v>48654</v>
      </c>
      <c r="C50" s="10" t="n">
        <v>48745</v>
      </c>
      <c r="D50" s="23" t="n">
        <v>95.11</v>
      </c>
      <c r="E50" s="15">
        <f>(100-D50)/100</f>
        <v/>
      </c>
      <c r="F50" s="24" t="n">
        <v>14.29</v>
      </c>
      <c r="G50" s="12" t="n">
        <v>0.0488947</v>
      </c>
      <c r="H50" s="24" t="n">
        <v>-0.053</v>
      </c>
      <c r="I50" s="25" t="n">
        <v>35</v>
      </c>
    </row>
    <row r="51">
      <c r="A51" s="14" t="inlineStr">
        <is>
          <t>SR3 JUN 33</t>
        </is>
      </c>
      <c r="B51" s="10" t="n">
        <v>48745</v>
      </c>
      <c r="C51" s="10" t="n">
        <v>48843</v>
      </c>
      <c r="D51" s="23" t="n">
        <v>95.08499999999999</v>
      </c>
      <c r="E51" s="15">
        <f>(100-D51)/100</f>
        <v/>
      </c>
      <c r="F51" s="24" t="n">
        <v>15.33</v>
      </c>
      <c r="G51" s="12" t="n">
        <v>0.0491517</v>
      </c>
      <c r="H51" s="24" t="n">
        <v>0.017</v>
      </c>
      <c r="I51" s="25" t="n">
        <v>1</v>
      </c>
    </row>
    <row r="52">
      <c r="A52" s="14" t="inlineStr">
        <is>
          <t>SR3 SEP 33</t>
        </is>
      </c>
      <c r="B52" s="10" t="n">
        <v>48843</v>
      </c>
      <c r="C52" s="10" t="n">
        <v>48934</v>
      </c>
      <c r="D52" s="23" t="n">
        <v>95.06</v>
      </c>
      <c r="E52" s="15">
        <f>(100-D52)/100</f>
        <v/>
      </c>
      <c r="F52" s="24" t="n">
        <v>16.39</v>
      </c>
      <c r="G52" s="12" t="n">
        <v>0.0494064</v>
      </c>
      <c r="H52" s="24" t="n">
        <v>0.064</v>
      </c>
      <c r="I52" s="25" t="n">
        <v>0</v>
      </c>
    </row>
    <row r="53">
      <c r="A53" s="14" t="inlineStr">
        <is>
          <t>SR3 DEC 33</t>
        </is>
      </c>
      <c r="B53" s="10" t="n">
        <v>48934</v>
      </c>
      <c r="C53" s="10" t="n">
        <v>49018</v>
      </c>
      <c r="D53" s="23" t="n">
        <v>95.035</v>
      </c>
      <c r="E53" s="15">
        <f>(100-D53)/100</f>
        <v/>
      </c>
      <c r="F53" s="24" t="n">
        <v>17.41</v>
      </c>
      <c r="G53" s="12" t="n">
        <v>0.0496338</v>
      </c>
      <c r="H53" s="24" t="n">
        <v>-0.162</v>
      </c>
      <c r="I53" s="25" t="n">
        <v>11</v>
      </c>
    </row>
    <row r="54">
      <c r="A54" s="14" t="inlineStr">
        <is>
          <t>SR3 MAR 34</t>
        </is>
      </c>
      <c r="B54" s="10" t="n">
        <v>49018</v>
      </c>
      <c r="C54" s="10" t="n">
        <v>49116</v>
      </c>
      <c r="D54" s="23" t="n">
        <v>95.02</v>
      </c>
      <c r="E54" s="15">
        <f>(100-D54)/100</f>
        <v/>
      </c>
      <c r="F54" s="24" t="n">
        <v>18.48</v>
      </c>
      <c r="G54" s="12" t="n">
        <v>0.0498229</v>
      </c>
      <c r="H54" s="24" t="n">
        <v>0.229</v>
      </c>
      <c r="I54" s="25" t="n">
        <v>0</v>
      </c>
    </row>
    <row r="55">
      <c r="A55" s="14" t="inlineStr">
        <is>
          <t>SR3 JUN 34</t>
        </is>
      </c>
      <c r="B55" s="10" t="n">
        <v>49116</v>
      </c>
      <c r="C55" s="10" t="n">
        <v>49207</v>
      </c>
      <c r="D55" s="23" t="n">
        <v>94.98999999999999</v>
      </c>
      <c r="E55" s="15">
        <f>(100-D55)/100</f>
        <v/>
      </c>
      <c r="F55" s="24" t="n">
        <v>19.62</v>
      </c>
      <c r="G55" s="12" t="n">
        <v>0.0500714</v>
      </c>
      <c r="H55" s="24" t="n">
        <v>-0.286</v>
      </c>
      <c r="I55" s="25" t="n">
        <v>0</v>
      </c>
    </row>
    <row r="56">
      <c r="A56" s="14" t="inlineStr">
        <is>
          <t>SR3 SEP 34</t>
        </is>
      </c>
      <c r="B56" s="10" t="n">
        <v>49207</v>
      </c>
      <c r="C56" s="10" t="n">
        <v>49298</v>
      </c>
      <c r="D56" s="23" t="n">
        <v>94.98</v>
      </c>
      <c r="E56" s="15">
        <f>(100-D56)/100</f>
        <v/>
      </c>
      <c r="F56" s="24" t="n">
        <v>20.75</v>
      </c>
      <c r="G56" s="12" t="n">
        <v>0.0502337</v>
      </c>
      <c r="H56" s="24" t="n">
        <v>0.337</v>
      </c>
      <c r="I56" s="25" t="n">
        <v>0</v>
      </c>
    </row>
    <row r="57">
      <c r="A57" s="14" t="inlineStr">
        <is>
          <t>SR3 DEC 34</t>
        </is>
      </c>
      <c r="B57" s="10" t="n">
        <v>49298</v>
      </c>
      <c r="C57" s="10" t="n">
        <v>49389</v>
      </c>
      <c r="D57" s="23" t="n">
        <v>94.935</v>
      </c>
      <c r="E57" s="15">
        <f>(100-D57)/100</f>
        <v/>
      </c>
      <c r="F57" s="24" t="n">
        <v>21.89</v>
      </c>
      <c r="G57" s="12" t="n">
        <v>0.0506186</v>
      </c>
      <c r="H57" s="24" t="n">
        <v>-0.314</v>
      </c>
      <c r="I57" s="25" t="n">
        <v>0</v>
      </c>
    </row>
    <row r="58">
      <c r="A58" s="14" t="inlineStr">
        <is>
          <t>SR3 MAR 35</t>
        </is>
      </c>
      <c r="B58" s="10" t="n">
        <v>49389</v>
      </c>
      <c r="C58" s="10" t="n">
        <v>49480</v>
      </c>
      <c r="D58" s="23" t="n">
        <v>94.925</v>
      </c>
      <c r="E58" s="15">
        <f>(100-D58)/100</f>
        <v/>
      </c>
      <c r="F58" s="24" t="n">
        <v>23.06</v>
      </c>
      <c r="G58" s="12" t="n">
        <v>0.05077180000000001</v>
      </c>
      <c r="H58" s="24" t="n">
        <v>0.218</v>
      </c>
      <c r="I58" s="25" t="n">
        <v>0</v>
      </c>
    </row>
    <row r="59">
      <c r="A59" s="14" t="inlineStr">
        <is>
          <t>SR3 JUN 35</t>
        </is>
      </c>
      <c r="B59" s="10" t="n">
        <v>49480</v>
      </c>
      <c r="C59" s="10" t="n">
        <v>49571</v>
      </c>
      <c r="D59" s="23" t="n">
        <v>94.90000000000001</v>
      </c>
      <c r="E59" s="15">
        <f>(100-D59)/100</f>
        <v/>
      </c>
      <c r="F59" s="24" t="n">
        <v>24.25</v>
      </c>
      <c r="G59" s="12" t="n">
        <v>0.0509842</v>
      </c>
      <c r="H59" s="24" t="n">
        <v>-0.158</v>
      </c>
      <c r="I59" s="25" t="n">
        <v>0</v>
      </c>
    </row>
    <row r="60">
      <c r="A60" s="14" t="inlineStr">
        <is>
          <t>SR3 SEP 35</t>
        </is>
      </c>
      <c r="B60" s="10" t="n">
        <v>49571</v>
      </c>
      <c r="C60" s="10" t="n">
        <v>49662</v>
      </c>
      <c r="D60" s="23" t="n">
        <v>94.875</v>
      </c>
      <c r="E60" s="15">
        <f>(100-D60)/100</f>
        <v/>
      </c>
      <c r="F60" s="24" t="n">
        <v>25.46</v>
      </c>
      <c r="G60" s="12" t="n">
        <v>0.0512687</v>
      </c>
      <c r="H60" s="24" t="n">
        <v>0.187</v>
      </c>
      <c r="I60" s="25" t="n">
        <v>0</v>
      </c>
    </row>
    <row r="61">
      <c r="A61" s="14" t="inlineStr">
        <is>
          <t>SR3 DEC 35</t>
        </is>
      </c>
      <c r="B61" s="10" t="n">
        <v>49662</v>
      </c>
      <c r="C61" s="10" t="n">
        <v>49753</v>
      </c>
      <c r="D61" s="23" t="n">
        <v>94.83</v>
      </c>
      <c r="E61" s="15">
        <f>(100-D61)/100</f>
        <v/>
      </c>
      <c r="F61" s="24" t="n">
        <v>26.69</v>
      </c>
      <c r="G61" s="12" t="n">
        <v>0.0516833</v>
      </c>
      <c r="H61" s="24" t="n">
        <v>-0.167</v>
      </c>
      <c r="I61" s="25" t="n">
        <v>0</v>
      </c>
    </row>
    <row r="62">
      <c r="A62" s="14" t="inlineStr">
        <is>
          <t>SR3 MAR 36</t>
        </is>
      </c>
      <c r="B62" s="10" t="n">
        <v>49753</v>
      </c>
      <c r="C62" s="10" t="n">
        <v>49844</v>
      </c>
      <c r="D62" s="23" t="n">
        <v>94.81999999999999</v>
      </c>
      <c r="E62" s="15">
        <f>(100-D62)/100</f>
        <v/>
      </c>
      <c r="F62" s="24" t="n">
        <v>27.94</v>
      </c>
      <c r="G62" s="12" t="n">
        <v>0.0518058</v>
      </c>
      <c r="H62" s="24" t="n">
        <v>0.058</v>
      </c>
      <c r="I62" s="25" t="n">
        <v>0</v>
      </c>
    </row>
    <row r="64">
      <c r="A64" s="5" t="inlineStr">
        <is>
          <t>Fit: 59 contracts, RMS residual 0.22 bp, max 0.699 bp. Residual = model futures rate - market rate. Source: CME Group daily settlements (SR3, SR1).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2" t="inlineStr">
        <is>
          <t>Published SOFR used for elapsed days (source: Federal Reserve Bank of New York)</t>
        </is>
      </c>
    </row>
    <row r="3" ht="30" customHeight="1">
      <c r="A3" s="9" t="inlineStr">
        <is>
          <t>Date</t>
        </is>
      </c>
      <c r="B3" s="9" t="inlineStr">
        <is>
          <t>SOFR</t>
        </is>
      </c>
    </row>
    <row r="4">
      <c r="A4" s="3" t="n">
        <v>46310</v>
      </c>
      <c r="B4" s="26" t="n">
        <v>0.0389</v>
      </c>
    </row>
    <row r="5">
      <c r="A5" s="3" t="n">
        <v>46309</v>
      </c>
      <c r="B5" s="26" t="n">
        <v>0.0388</v>
      </c>
    </row>
    <row r="6">
      <c r="A6" s="3" t="n">
        <v>46308</v>
      </c>
      <c r="B6" s="26" t="n">
        <v>0.0389</v>
      </c>
    </row>
    <row r="7">
      <c r="A7" s="3" t="n">
        <v>46304</v>
      </c>
      <c r="B7" s="26" t="n">
        <v>0.0387</v>
      </c>
    </row>
    <row r="8">
      <c r="A8" s="3" t="n">
        <v>46303</v>
      </c>
      <c r="B8" s="26" t="n">
        <v>0.0387</v>
      </c>
    </row>
    <row r="9">
      <c r="A9" s="3" t="n">
        <v>46302</v>
      </c>
      <c r="B9" s="26" t="n">
        <v>0.0388</v>
      </c>
    </row>
    <row r="10">
      <c r="A10" s="3" t="n">
        <v>46301</v>
      </c>
      <c r="B10" s="26" t="n">
        <v>0.039</v>
      </c>
    </row>
    <row r="11">
      <c r="A11" s="3" t="n">
        <v>46300</v>
      </c>
      <c r="B11" s="26" t="n">
        <v>0.0389</v>
      </c>
    </row>
    <row r="12">
      <c r="A12" s="3" t="n">
        <v>46297</v>
      </c>
      <c r="B12" s="26" t="n">
        <v>0.0388</v>
      </c>
    </row>
    <row r="13">
      <c r="A13" s="3" t="n">
        <v>46296</v>
      </c>
      <c r="B13" s="26" t="n">
        <v>0.0387</v>
      </c>
    </row>
    <row r="14">
      <c r="A14" s="3" t="n">
        <v>46295</v>
      </c>
      <c r="B14" s="26" t="n">
        <v>0.039</v>
      </c>
    </row>
    <row r="15">
      <c r="A15" s="3" t="n">
        <v>46294</v>
      </c>
      <c r="B15" s="26" t="n">
        <v>0.0388</v>
      </c>
    </row>
    <row r="16">
      <c r="A16" s="3" t="n">
        <v>46293</v>
      </c>
      <c r="B16" s="26" t="n">
        <v>0.039</v>
      </c>
    </row>
    <row r="17">
      <c r="A17" s="3" t="n">
        <v>46290</v>
      </c>
      <c r="B17" s="26" t="n">
        <v>0.039</v>
      </c>
    </row>
    <row r="18">
      <c r="A18" s="3" t="n">
        <v>46289</v>
      </c>
      <c r="B18" s="26" t="n">
        <v>0.0388</v>
      </c>
    </row>
    <row r="19">
      <c r="A19" s="3" t="n">
        <v>46288</v>
      </c>
      <c r="B19" s="26" t="n">
        <v>0.0387</v>
      </c>
    </row>
    <row r="20">
      <c r="A20" s="3" t="n">
        <v>46287</v>
      </c>
      <c r="B20" s="26" t="n">
        <v>0.0387</v>
      </c>
    </row>
    <row r="21">
      <c r="A21" s="3" t="n">
        <v>46286</v>
      </c>
      <c r="B21" s="26" t="n">
        <v>0.0385</v>
      </c>
    </row>
    <row r="22">
      <c r="A22" s="3" t="n">
        <v>46283</v>
      </c>
      <c r="B22" s="26" t="n">
        <v>0.0385</v>
      </c>
    </row>
    <row r="23">
      <c r="A23" s="3" t="n">
        <v>46282</v>
      </c>
      <c r="B23" s="26" t="n">
        <v>0.0385</v>
      </c>
    </row>
    <row r="24">
      <c r="A24" s="3" t="n">
        <v>46281</v>
      </c>
      <c r="B24" s="26" t="n">
        <v>0.0362</v>
      </c>
    </row>
    <row r="25">
      <c r="A25" s="3" t="n">
        <v>46280</v>
      </c>
      <c r="B25" s="26" t="n">
        <v>0.0364</v>
      </c>
    </row>
    <row r="26">
      <c r="A26" s="3" t="n">
        <v>46279</v>
      </c>
      <c r="B26" s="26" t="n">
        <v>0.0362</v>
      </c>
    </row>
    <row r="27">
      <c r="A27" s="3" t="n">
        <v>46276</v>
      </c>
      <c r="B27" s="26" t="n">
        <v>0.0362</v>
      </c>
    </row>
    <row r="28">
      <c r="A28" s="3" t="n">
        <v>46275</v>
      </c>
      <c r="B28" s="26" t="n">
        <v>0.0362</v>
      </c>
    </row>
    <row r="29">
      <c r="A29" s="3" t="n">
        <v>46274</v>
      </c>
      <c r="B29" s="26" t="n">
        <v>0.0364</v>
      </c>
    </row>
    <row r="30">
      <c r="A30" s="3" t="n">
        <v>46273</v>
      </c>
      <c r="B30" s="26" t="n">
        <v>0.0364</v>
      </c>
    </row>
    <row r="31">
      <c r="A31" s="3" t="n">
        <v>46269</v>
      </c>
      <c r="B31" s="26" t="n">
        <v>0.0365</v>
      </c>
    </row>
    <row r="32">
      <c r="A32" s="3" t="n">
        <v>46268</v>
      </c>
      <c r="B32" s="26" t="n">
        <v>0.0366</v>
      </c>
    </row>
    <row r="33">
      <c r="A33" s="3" t="n">
        <v>46267</v>
      </c>
      <c r="B33" s="26" t="n">
        <v>0.0365</v>
      </c>
    </row>
    <row r="34">
      <c r="A34" s="3" t="n">
        <v>46266</v>
      </c>
      <c r="B34" s="26" t="n">
        <v>0.0366</v>
      </c>
    </row>
    <row r="35">
      <c r="A35" s="3" t="n">
        <v>46265</v>
      </c>
      <c r="B35" s="26" t="n">
        <v>0.0368</v>
      </c>
    </row>
    <row r="36">
      <c r="A36" s="3" t="n">
        <v>46262</v>
      </c>
      <c r="B36" s="26" t="n">
        <v>0.0365</v>
      </c>
    </row>
    <row r="37">
      <c r="A37" s="3" t="n">
        <v>46261</v>
      </c>
      <c r="B37" s="26" t="n">
        <v>0.0364</v>
      </c>
    </row>
    <row r="38">
      <c r="A38" s="3" t="n">
        <v>46260</v>
      </c>
      <c r="B38" s="26" t="n">
        <v>0.0364</v>
      </c>
    </row>
    <row r="39">
      <c r="A39" s="3" t="n">
        <v>46259</v>
      </c>
      <c r="B39" s="26" t="n">
        <v>0.0366</v>
      </c>
    </row>
    <row r="40">
      <c r="A40" s="3" t="n">
        <v>46258</v>
      </c>
      <c r="B40" s="26" t="n">
        <v>0.0365</v>
      </c>
    </row>
    <row r="41">
      <c r="A41" s="3" t="n">
        <v>46255</v>
      </c>
      <c r="B41" s="26" t="n">
        <v>0.0365</v>
      </c>
    </row>
    <row r="42">
      <c r="A42" s="3" t="n">
        <v>46254</v>
      </c>
      <c r="B42" s="26" t="n">
        <v>0.0363</v>
      </c>
    </row>
    <row r="43">
      <c r="A43" s="3" t="n">
        <v>46253</v>
      </c>
      <c r="B43" s="26" t="n">
        <v>0.0362</v>
      </c>
    </row>
    <row r="44">
      <c r="A44" s="3" t="n">
        <v>46252</v>
      </c>
      <c r="B44" s="26" t="n">
        <v>0.0365</v>
      </c>
    </row>
    <row r="45">
      <c r="A45" s="3" t="n">
        <v>46251</v>
      </c>
      <c r="B45" s="26" t="n">
        <v>0.0366</v>
      </c>
    </row>
    <row r="46">
      <c r="A46" s="3" t="n">
        <v>46248</v>
      </c>
      <c r="B46" s="26" t="n">
        <v>0.0362</v>
      </c>
    </row>
    <row r="47">
      <c r="A47" s="3" t="n">
        <v>46247</v>
      </c>
      <c r="B47" s="26" t="n">
        <v>0.0362</v>
      </c>
    </row>
    <row r="48">
      <c r="A48" s="3" t="n">
        <v>46246</v>
      </c>
      <c r="B48" s="26" t="n">
        <v>0.0362</v>
      </c>
    </row>
    <row r="49">
      <c r="A49" s="3" t="n">
        <v>46245</v>
      </c>
      <c r="B49" s="26" t="n">
        <v>0.0364</v>
      </c>
    </row>
    <row r="50">
      <c r="A50" s="3" t="n">
        <v>46244</v>
      </c>
      <c r="B50" s="26" t="n">
        <v>0.0363</v>
      </c>
    </row>
    <row r="51">
      <c r="A51" s="3" t="n">
        <v>46241</v>
      </c>
      <c r="B51" s="26" t="n">
        <v>0.0362</v>
      </c>
    </row>
    <row r="52">
      <c r="A52" s="3" t="n">
        <v>46240</v>
      </c>
      <c r="B52" s="26" t="n">
        <v>0.0365</v>
      </c>
    </row>
    <row r="53">
      <c r="A53" s="3" t="n">
        <v>46239</v>
      </c>
      <c r="B53" s="26" t="n">
        <v>0.0364</v>
      </c>
    </row>
    <row r="54">
      <c r="A54" s="3" t="n">
        <v>46238</v>
      </c>
      <c r="B54" s="26" t="n">
        <v>0.0366</v>
      </c>
    </row>
    <row r="55">
      <c r="A55" s="3" t="n">
        <v>46237</v>
      </c>
      <c r="B55" s="26" t="n">
        <v>0.0365</v>
      </c>
    </row>
    <row r="56">
      <c r="A56" s="3" t="n">
        <v>46234</v>
      </c>
      <c r="B56" s="26" t="n">
        <v>0.0366</v>
      </c>
    </row>
    <row r="57">
      <c r="A57" s="3" t="n">
        <v>46233</v>
      </c>
      <c r="B57" s="26" t="n">
        <v>0.0365</v>
      </c>
    </row>
    <row r="58">
      <c r="A58" s="3" t="n">
        <v>46232</v>
      </c>
      <c r="B58" s="26" t="n">
        <v>0.0365</v>
      </c>
    </row>
    <row r="59">
      <c r="A59" s="3" t="n">
        <v>46231</v>
      </c>
      <c r="B59" s="26" t="n">
        <v>0.0365</v>
      </c>
    </row>
    <row r="60">
      <c r="A60" s="3" t="n">
        <v>46230</v>
      </c>
      <c r="B60" s="26" t="n">
        <v>0.0364</v>
      </c>
    </row>
    <row r="61">
      <c r="A61" s="3" t="n">
        <v>46227</v>
      </c>
      <c r="B61" s="26" t="n">
        <v>0.0364</v>
      </c>
    </row>
    <row r="62">
      <c r="A62" s="3" t="n">
        <v>46226</v>
      </c>
      <c r="B62" s="26" t="n">
        <v>0.0364</v>
      </c>
    </row>
    <row r="63">
      <c r="A63" s="3" t="n">
        <v>46225</v>
      </c>
      <c r="B63" s="26" t="n">
        <v>0.0362</v>
      </c>
    </row>
    <row r="64">
      <c r="A64" s="3" t="n">
        <v>46224</v>
      </c>
      <c r="B64" s="26" t="n">
        <v>0.0361</v>
      </c>
    </row>
    <row r="65">
      <c r="A65" s="3" t="n">
        <v>46223</v>
      </c>
      <c r="B65" s="26" t="n">
        <v>0.0357</v>
      </c>
    </row>
    <row r="66">
      <c r="A66" s="3" t="n">
        <v>46220</v>
      </c>
      <c r="B66" s="26" t="n">
        <v>0.0359</v>
      </c>
    </row>
    <row r="67">
      <c r="A67" s="3" t="n">
        <v>46219</v>
      </c>
      <c r="B67" s="26" t="n">
        <v>0.0362</v>
      </c>
    </row>
    <row r="68">
      <c r="A68" s="3" t="n">
        <v>46218</v>
      </c>
      <c r="B68" s="26" t="n">
        <v>0.0364</v>
      </c>
    </row>
    <row r="69">
      <c r="A69" s="3" t="n">
        <v>46217</v>
      </c>
      <c r="B69" s="26" t="n">
        <v>0.0363</v>
      </c>
    </row>
    <row r="70">
      <c r="A70" s="3" t="n">
        <v>46216</v>
      </c>
      <c r="B70" s="26" t="n">
        <v>0.036</v>
      </c>
    </row>
    <row r="71">
      <c r="A71" s="3" t="n">
        <v>46213</v>
      </c>
      <c r="B71" s="26" t="n">
        <v>0.0355</v>
      </c>
    </row>
    <row r="72">
      <c r="A72" s="3" t="n">
        <v>46212</v>
      </c>
      <c r="B72" s="26" t="n">
        <v>0.0353</v>
      </c>
    </row>
    <row r="73">
      <c r="A73" s="3" t="n">
        <v>46211</v>
      </c>
      <c r="B73" s="26" t="n">
        <v>0.0358</v>
      </c>
    </row>
    <row r="74">
      <c r="A74" s="3" t="n">
        <v>46210</v>
      </c>
      <c r="B74" s="26" t="n">
        <v>0.0362</v>
      </c>
    </row>
    <row r="75">
      <c r="A75" s="3" t="n">
        <v>46209</v>
      </c>
      <c r="B75" s="26" t="n">
        <v>0.0363</v>
      </c>
    </row>
    <row r="76">
      <c r="A76" s="3" t="n">
        <v>46205</v>
      </c>
      <c r="B76" s="26" t="n">
        <v>0.0364</v>
      </c>
    </row>
    <row r="77">
      <c r="A77" s="3" t="n">
        <v>46204</v>
      </c>
      <c r="B77" s="26" t="n">
        <v>0.0366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7" t="inlineStr">
        <is>
          <t>Methodology</t>
        </is>
      </c>
    </row>
    <row r="2">
      <c r="A2" s="28" t="inlineStr">
        <is>
          <t>Inputs: CME Three-Month (SR3) and One-Month (SR1) SOFR futures daily settlements; NY Fed SOFR fixings.</t>
        </is>
      </c>
    </row>
    <row r="3">
      <c r="A3" s="28" t="inlineStr">
        <is>
          <t>SR1 settles on the calendar-day average of SOFR in its month; SR3 on business-day compounded SOFR from the 3rd Wednesday of its named month to the 3rd Wednesday three months later.</t>
        </is>
      </c>
    </row>
    <row r="4">
      <c r="A4" s="28" t="inlineStr">
        <is>
          <t>Front end: overnight SOFR is constant between FOMC decision dates (rate changes effective the day after), the same step structure CME uses for Term SOFR. Beyond the last scheduled FOMC meeting: one level per month.</t>
        </is>
      </c>
    </row>
    <row r="5">
      <c r="A5" s="28" t="inlineStr">
        <is>
          <t>Levels are fitted by least squares to all SR3 quarterlies and to serial SR3 / SR1 contracts with open interest, with a light curvature penalty so the back end is smooth.</t>
        </is>
      </c>
    </row>
    <row r="6">
      <c r="A6" s="28" t="inlineStr">
        <is>
          <t>Convexity: futures rates are reduced by a Hull-White one-factor adjustment (sigma = 0.90% normal, mean reversion a = 0.03). On this curve: 3 bp at 3 years, 9 bp at 5 years, 28 bp at 10 years. The 'Futures-Implied' column shows the curve with no adjustment.</t>
        </is>
      </c>
    </row>
    <row r="7">
      <c r="A7" s="28" t="inlineStr">
        <is>
          <t>Contracts beyond about 7 years carry little or no open interest; CME sets their settlements from spreads, so the last few years of the curve are indicative. Months after the last contract hold its level flat.</t>
        </is>
      </c>
    </row>
    <row r="8">
      <c r="A8" s="28" t="inlineStr">
        <is>
          <t>1M Fwd SOFR is compounded SOFR over each calendar month and approximates the 1M CME Term SOFR fixing on the reset date to within a few bp; it is not CME Term SOFR.</t>
        </is>
      </c>
    </row>
    <row r="9">
      <c r="A9" s="29" t="inlineStr">
        <is>
          <t>Not investment advice. Market data (c) CME Group and the Federal Reserve Bank of New York.</t>
        </is>
      </c>
    </row>
    <row r="10">
      <c r="A10" s="28" t="inlineStr"/>
    </row>
    <row r="11">
      <c r="A11" s="30" t="inlineStr">
        <is>
          <t>API (CORS-enabled, static JSON/CSV)</t>
        </is>
      </c>
    </row>
    <row r="12">
      <c r="A12" s="28" t="inlineStr">
        <is>
          <t>https://jkane-29.github.io/opensofr/api/v1/latest.json</t>
        </is>
      </c>
    </row>
    <row r="13">
      <c r="A13" s="28" t="inlineStr">
        <is>
          <t>https://jkane-29.github.io/opensofr/api/v1/latest.csv</t>
        </is>
      </c>
    </row>
    <row r="14">
      <c r="A14" s="28" t="inlineStr">
        <is>
          <t>https://jkane-29.github.io/opensofr/api/v1/history/index.json  (list of dates; then /api/v1/history/YYYY-MM-DD.json or .csv)</t>
        </is>
      </c>
    </row>
    <row r="15">
      <c r="A15" s="28" t="inlineStr">
        <is>
          <t>https://jkane-29.github.io/opensofr/downloads/sofr-forward-curve.xlsx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2026-10-17T13:24:16Z</dcterms:created>
  <dcterms:modified xmlns:dcterms="http://purl.org/dc/terms/" xmlns:xsi="http://www.w3.org/2001/XMLSchema-instance" xsi:type="dcterms:W3CDTF">2026-10-17T13:24:16Z</dcterms:modified>
</cp:coreProperties>
</file>