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 Curve" sheetId="1" state="visible" r:id="rId1"/>
    <sheet name="Annual" sheetId="2" state="visible" r:id="rId2"/>
    <sheet name="Futures Inputs" sheetId="3" state="visible" r:id="rId3"/>
    <sheet name="SOFR Fixings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%"/>
    <numFmt numFmtId="166" formatCode="0.0"/>
    <numFmt numFmtId="167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" fontId="5" fillId="2" borderId="0" pivotButton="0" quotePrefix="0" xfId="0"/>
    <xf numFmtId="165" fontId="5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164" fontId="3" fillId="0" borderId="1" pivotButton="0" quotePrefix="0" xfId="0"/>
    <xf numFmtId="1" fontId="3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4" fontId="3" fillId="4" borderId="1" pivotButton="0" quotePrefix="0" xfId="0"/>
    <xf numFmtId="1" fontId="3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1" fontId="5" fillId="0" borderId="1" pivotButton="0" quotePrefix="0" xfId="0"/>
    <xf numFmtId="167" fontId="5" fillId="0" borderId="1" pivotButton="0" quotePrefix="0" xfId="0"/>
    <xf numFmtId="2" fontId="5" fillId="0" borderId="1" pivotButton="0" quotePrefix="0" xfId="0"/>
    <xf numFmtId="3" fontId="5" fillId="0" borderId="1" pivotButton="0" quotePrefix="0" xfId="0"/>
    <xf numFmtId="165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SOFR forward curve, 2026-10-23</a:t>
            </a:r>
          </a:p>
        </rich>
      </tx>
    </title>
    <plotArea>
      <lineChart>
        <grouping val="standard"/>
        <ser>
          <idx val="0"/>
          <order val="0"/>
          <tx>
            <strRef>
              <f>'Forward Curve'!D11</f>
            </strRef>
          </tx>
          <spPr>
            <a:ln w="28000">
              <a:solidFill>
                <a:srgbClr val="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'Forward Curve'!$A$12:$A$132</f>
            </numRef>
          </cat>
          <val>
            <numRef>
              <f>'Forward Curve'!$D$12:$D$132</f>
            </numRef>
          </val>
          <smooth val="0"/>
        </ser>
        <ser>
          <idx val="1"/>
          <order val="1"/>
          <tx>
            <strRef>
              <f>'Forward Curve'!F11</f>
            </strRef>
          </tx>
          <spPr>
            <a:ln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'Forward Curve'!$A$12:$A$132</f>
            </numRef>
          </cat>
          <val>
            <numRef>
              <f>'Forward Curve'!$F$12:$F$132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1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3" customWidth="1" min="4" max="4"/>
    <col width="13" customWidth="1" min="5" max="5"/>
    <col width="15" customWidth="1" min="6" max="6"/>
    <col width="11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SOFR Forward Curve: monthly, 10 years</t>
        </is>
      </c>
    </row>
    <row r="2">
      <c r="A2" s="2" t="inlineStr">
        <is>
          <t>Curve date (CME settlement)</t>
        </is>
      </c>
      <c r="B2" s="3" t="n">
        <v>46318</v>
      </c>
    </row>
    <row r="3">
      <c r="A3" s="2" t="inlineStr">
        <is>
          <t>Last SOFR fixing</t>
        </is>
      </c>
      <c r="B3" s="4" t="n">
        <v>0.039</v>
      </c>
      <c r="C3" s="5" t="inlineStr">
        <is>
          <t>on 2026-10-22 (NY Fed)</t>
        </is>
      </c>
    </row>
    <row r="4">
      <c r="A4" s="2" t="inlineStr">
        <is>
          <t>Generated</t>
        </is>
      </c>
      <c r="B4" s="6" t="inlineStr">
        <is>
          <t>2026-10-24 16:35 UTC</t>
        </is>
      </c>
    </row>
    <row r="6">
      <c r="A6" s="2" t="inlineStr">
        <is>
          <t>Loan inputs (edit the yellow cells)</t>
        </is>
      </c>
    </row>
    <row r="7">
      <c r="A7" s="6" t="inlineStr">
        <is>
          <t>Spread over SOFR (bp)</t>
        </is>
      </c>
      <c r="B7" s="7" t="n">
        <v>250</v>
      </c>
      <c r="C7" s="5" t="inlineStr">
        <is>
          <t>Example: 250 = SOFR + 2.50%</t>
        </is>
      </c>
    </row>
    <row r="8">
      <c r="A8" s="6" t="inlineStr">
        <is>
          <t>SOFR floor</t>
        </is>
      </c>
      <c r="B8" s="8" t="n">
        <v>0</v>
      </c>
    </row>
    <row r="9">
      <c r="A9" s="6" t="inlineStr">
        <is>
          <t>SOFR cap strike (blank = no cap)</t>
        </is>
      </c>
      <c r="B9" s="8" t="n"/>
      <c r="C9" s="5" t="inlineStr">
        <is>
          <t>Example: 4.00% caps the index at 4.00%</t>
        </is>
      </c>
    </row>
    <row r="11" ht="30" customHeight="1">
      <c r="A11" s="9" t="inlineStr">
        <is>
          <t>Reset Date</t>
        </is>
      </c>
      <c r="B11" s="9" t="inlineStr">
        <is>
          <t>End Date</t>
        </is>
      </c>
      <c r="C11" s="9" t="inlineStr">
        <is>
          <t>Days</t>
        </is>
      </c>
      <c r="D11" s="9" t="inlineStr">
        <is>
          <t>1M Fwd SOFR</t>
        </is>
      </c>
      <c r="E11" s="9" t="inlineStr">
        <is>
          <t>Avg Overnight SOFR</t>
        </is>
      </c>
      <c r="F11" s="9" t="inlineStr">
        <is>
          <t>Futures-Implied (no convexity)</t>
        </is>
      </c>
      <c r="G11" s="9" t="inlineStr">
        <is>
          <t>Convexity (bp)</t>
        </is>
      </c>
      <c r="H11" s="9" t="inlineStr">
        <is>
          <t>Status</t>
        </is>
      </c>
      <c r="I11" s="9" t="inlineStr">
        <is>
          <t>Index Rate (after floor / cap)</t>
        </is>
      </c>
      <c r="J11" s="9" t="inlineStr">
        <is>
          <t>All-in Rate</t>
        </is>
      </c>
    </row>
    <row r="12">
      <c r="A12" s="10" t="n">
        <v>46296</v>
      </c>
      <c r="B12" s="10" t="n">
        <v>46327</v>
      </c>
      <c r="C12" s="11" t="n">
        <v>31</v>
      </c>
      <c r="D12" s="12" t="n">
        <v>0.038972</v>
      </c>
      <c r="E12" s="12" t="n">
        <v>0.038911</v>
      </c>
      <c r="F12" s="12" t="n">
        <v>0.0389719</v>
      </c>
      <c r="G12" s="13" t="n">
        <v>0</v>
      </c>
      <c r="H12" s="14" t="inlineStr">
        <is>
          <t>partially fixed</t>
        </is>
      </c>
      <c r="I12" s="15">
        <f>MAX($B$8,IF($B$9="",D12,MIN(D12,$B$9)))</f>
        <v/>
      </c>
      <c r="J12" s="15">
        <f>I12+$B$7/10000</f>
        <v/>
      </c>
    </row>
    <row r="13">
      <c r="A13" s="10" t="n">
        <v>46327</v>
      </c>
      <c r="B13" s="10" t="n">
        <v>46357</v>
      </c>
      <c r="C13" s="11" t="n">
        <v>30</v>
      </c>
      <c r="D13" s="12" t="n">
        <v>0.039333</v>
      </c>
      <c r="E13" s="12" t="n">
        <v>0.0392728</v>
      </c>
      <c r="F13" s="12" t="n">
        <v>0.0393329</v>
      </c>
      <c r="G13" s="13" t="n">
        <v>0</v>
      </c>
      <c r="H13" s="14" t="inlineStr">
        <is>
          <t>market</t>
        </is>
      </c>
      <c r="I13" s="15">
        <f>MAX($B$8,IF($B$9="",D13,MIN(D13,$B$9)))</f>
        <v/>
      </c>
      <c r="J13" s="15">
        <f>I13+$B$7/10000</f>
        <v/>
      </c>
    </row>
    <row r="14">
      <c r="A14" s="10" t="n">
        <v>46357</v>
      </c>
      <c r="B14" s="10" t="n">
        <v>46388</v>
      </c>
      <c r="C14" s="11" t="n">
        <v>31</v>
      </c>
      <c r="D14" s="12" t="n">
        <v>0.0407256</v>
      </c>
      <c r="E14" s="12" t="n">
        <v>0.0406589</v>
      </c>
      <c r="F14" s="12" t="n">
        <v>0.0407264</v>
      </c>
      <c r="G14" s="13" t="n">
        <v>0.01</v>
      </c>
      <c r="H14" s="14" t="inlineStr">
        <is>
          <t>market</t>
        </is>
      </c>
      <c r="I14" s="15">
        <f>MAX($B$8,IF($B$9="",D14,MIN(D14,$B$9)))</f>
        <v/>
      </c>
      <c r="J14" s="15">
        <f>I14+$B$7/10000</f>
        <v/>
      </c>
    </row>
    <row r="15">
      <c r="A15" s="10" t="n">
        <v>46388</v>
      </c>
      <c r="B15" s="10" t="n">
        <v>46419</v>
      </c>
      <c r="C15" s="11" t="n">
        <v>31</v>
      </c>
      <c r="D15" s="12" t="n">
        <v>0.04138219999999999</v>
      </c>
      <c r="E15" s="12" t="n">
        <v>0.0413138</v>
      </c>
      <c r="F15" s="12" t="n">
        <v>0.0413837</v>
      </c>
      <c r="G15" s="13" t="n">
        <v>0.02</v>
      </c>
      <c r="H15" s="14" t="inlineStr">
        <is>
          <t>market</t>
        </is>
      </c>
      <c r="I15" s="15">
        <f>MAX($B$8,IF($B$9="",D15,MIN(D15,$B$9)))</f>
        <v/>
      </c>
      <c r="J15" s="15">
        <f>I15+$B$7/10000</f>
        <v/>
      </c>
    </row>
    <row r="16">
      <c r="A16" s="10" t="n">
        <v>46419</v>
      </c>
      <c r="B16" s="10" t="n">
        <v>46447</v>
      </c>
      <c r="C16" s="11" t="n">
        <v>28</v>
      </c>
      <c r="D16" s="12" t="n">
        <v>0.0419707</v>
      </c>
      <c r="E16" s="12" t="n">
        <v>0.0419074</v>
      </c>
      <c r="F16" s="12" t="n">
        <v>0.0419743</v>
      </c>
      <c r="G16" s="13" t="n">
        <v>0.04</v>
      </c>
      <c r="H16" s="14" t="inlineStr">
        <is>
          <t>market</t>
        </is>
      </c>
      <c r="I16" s="15">
        <f>MAX($B$8,IF($B$9="",D16,MIN(D16,$B$9)))</f>
        <v/>
      </c>
      <c r="J16" s="15">
        <f>I16+$B$7/10000</f>
        <v/>
      </c>
    </row>
    <row r="17">
      <c r="A17" s="10" t="n">
        <v>46447</v>
      </c>
      <c r="B17" s="10" t="n">
        <v>46478</v>
      </c>
      <c r="C17" s="11" t="n">
        <v>31</v>
      </c>
      <c r="D17" s="12" t="n">
        <v>0.0426272</v>
      </c>
      <c r="E17" s="12" t="n">
        <v>0.0425541</v>
      </c>
      <c r="F17" s="12" t="n">
        <v>0.042633</v>
      </c>
      <c r="G17" s="13" t="n">
        <v>0.06</v>
      </c>
      <c r="H17" s="14" t="inlineStr">
        <is>
          <t>market</t>
        </is>
      </c>
      <c r="I17" s="15">
        <f>MAX($B$8,IF($B$9="",D17,MIN(D17,$B$9)))</f>
        <v/>
      </c>
      <c r="J17" s="15">
        <f>I17+$B$7/10000</f>
        <v/>
      </c>
    </row>
    <row r="18">
      <c r="A18" s="10" t="n">
        <v>46478</v>
      </c>
      <c r="B18" s="10" t="n">
        <v>46508</v>
      </c>
      <c r="C18" s="11" t="n">
        <v>30</v>
      </c>
      <c r="D18" s="12" t="n">
        <v>0.0434672</v>
      </c>
      <c r="E18" s="12" t="n">
        <v>0.0433933</v>
      </c>
      <c r="F18" s="12" t="n">
        <v>0.0434758</v>
      </c>
      <c r="G18" s="13" t="n">
        <v>0.09</v>
      </c>
      <c r="H18" s="14" t="inlineStr">
        <is>
          <t>market</t>
        </is>
      </c>
      <c r="I18" s="15">
        <f>MAX($B$8,IF($B$9="",D18,MIN(D18,$B$9)))</f>
        <v/>
      </c>
      <c r="J18" s="15">
        <f>I18+$B$7/10000</f>
        <v/>
      </c>
    </row>
    <row r="19">
      <c r="A19" s="10" t="n">
        <v>46508</v>
      </c>
      <c r="B19" s="10" t="n">
        <v>46539</v>
      </c>
      <c r="C19" s="11" t="n">
        <v>31</v>
      </c>
      <c r="D19" s="12" t="n">
        <v>0.0442254</v>
      </c>
      <c r="E19" s="12" t="n">
        <v>0.0441469</v>
      </c>
      <c r="F19" s="12" t="n">
        <v>0.0442374</v>
      </c>
      <c r="G19" s="13" t="n">
        <v>0.12</v>
      </c>
      <c r="H19" s="14" t="inlineStr">
        <is>
          <t>market</t>
        </is>
      </c>
      <c r="I19" s="15">
        <f>MAX($B$8,IF($B$9="",D19,MIN(D19,$B$9)))</f>
        <v/>
      </c>
      <c r="J19" s="15">
        <f>I19+$B$7/10000</f>
        <v/>
      </c>
    </row>
    <row r="20">
      <c r="A20" s="10" t="n">
        <v>46539</v>
      </c>
      <c r="B20" s="10" t="n">
        <v>46569</v>
      </c>
      <c r="C20" s="11" t="n">
        <v>30</v>
      </c>
      <c r="D20" s="12" t="n">
        <v>0.0449175</v>
      </c>
      <c r="E20" s="12" t="n">
        <v>0.0448393</v>
      </c>
      <c r="F20" s="12" t="n">
        <v>0.04493490000000001</v>
      </c>
      <c r="G20" s="13" t="n">
        <v>0.17</v>
      </c>
      <c r="H20" s="14" t="inlineStr">
        <is>
          <t>market</t>
        </is>
      </c>
      <c r="I20" s="15">
        <f>MAX($B$8,IF($B$9="",D20,MIN(D20,$B$9)))</f>
        <v/>
      </c>
      <c r="J20" s="15">
        <f>I20+$B$7/10000</f>
        <v/>
      </c>
    </row>
    <row r="21">
      <c r="A21" s="10" t="n">
        <v>46569</v>
      </c>
      <c r="B21" s="10" t="n">
        <v>46600</v>
      </c>
      <c r="C21" s="11" t="n">
        <v>31</v>
      </c>
      <c r="D21" s="12" t="n">
        <v>0.0452529</v>
      </c>
      <c r="E21" s="12" t="n">
        <v>0.0451708</v>
      </c>
      <c r="F21" s="12" t="n">
        <v>0.04527319999999999</v>
      </c>
      <c r="G21" s="13" t="n">
        <v>0.2</v>
      </c>
      <c r="H21" s="14" t="inlineStr">
        <is>
          <t>market</t>
        </is>
      </c>
      <c r="I21" s="15">
        <f>MAX($B$8,IF($B$9="",D21,MIN(D21,$B$9)))</f>
        <v/>
      </c>
      <c r="J21" s="15">
        <f>I21+$B$7/10000</f>
        <v/>
      </c>
    </row>
    <row r="22">
      <c r="A22" s="10" t="n">
        <v>46600</v>
      </c>
      <c r="B22" s="10" t="n">
        <v>46631</v>
      </c>
      <c r="C22" s="11" t="n">
        <v>31</v>
      </c>
      <c r="D22" s="12" t="n">
        <v>0.0455792</v>
      </c>
      <c r="E22" s="12" t="n">
        <v>0.045495</v>
      </c>
      <c r="F22" s="12" t="n">
        <v>0.0456055</v>
      </c>
      <c r="G22" s="13" t="n">
        <v>0.26</v>
      </c>
      <c r="H22" s="14" t="inlineStr">
        <is>
          <t>market</t>
        </is>
      </c>
      <c r="I22" s="15">
        <f>MAX($B$8,IF($B$9="",D22,MIN(D22,$B$9)))</f>
        <v/>
      </c>
      <c r="J22" s="15">
        <f>I22+$B$7/10000</f>
        <v/>
      </c>
    </row>
    <row r="23">
      <c r="A23" s="10" t="n">
        <v>46631</v>
      </c>
      <c r="B23" s="10" t="n">
        <v>46661</v>
      </c>
      <c r="C23" s="11" t="n">
        <v>30</v>
      </c>
      <c r="D23" s="12" t="n">
        <v>0.0457608</v>
      </c>
      <c r="E23" s="12" t="n">
        <v>0.0456795</v>
      </c>
      <c r="F23" s="12" t="n">
        <v>0.0457923</v>
      </c>
      <c r="G23" s="13" t="n">
        <v>0.31</v>
      </c>
      <c r="H23" s="14" t="inlineStr">
        <is>
          <t>market</t>
        </is>
      </c>
      <c r="I23" s="15">
        <f>MAX($B$8,IF($B$9="",D23,MIN(D23,$B$9)))</f>
        <v/>
      </c>
      <c r="J23" s="15">
        <f>I23+$B$7/10000</f>
        <v/>
      </c>
    </row>
    <row r="24">
      <c r="A24" s="10" t="n">
        <v>46661</v>
      </c>
      <c r="B24" s="10" t="n">
        <v>46692</v>
      </c>
      <c r="C24" s="11" t="n">
        <v>31</v>
      </c>
      <c r="D24" s="12" t="n">
        <v>0.045945</v>
      </c>
      <c r="E24" s="12" t="n">
        <v>0.0458606</v>
      </c>
      <c r="F24" s="12" t="n">
        <v>0.0459825</v>
      </c>
      <c r="G24" s="13" t="n">
        <v>0.38</v>
      </c>
      <c r="H24" s="14" t="inlineStr">
        <is>
          <t>market</t>
        </is>
      </c>
      <c r="I24" s="15">
        <f>MAX($B$8,IF($B$9="",D24,MIN(D24,$B$9)))</f>
        <v/>
      </c>
      <c r="J24" s="15">
        <f>I24+$B$7/10000</f>
        <v/>
      </c>
    </row>
    <row r="25">
      <c r="A25" s="10" t="n">
        <v>46692</v>
      </c>
      <c r="B25" s="10" t="n">
        <v>46722</v>
      </c>
      <c r="C25" s="11" t="n">
        <v>30</v>
      </c>
      <c r="D25" s="12" t="n">
        <v>0.0459196</v>
      </c>
      <c r="E25" s="12" t="n">
        <v>0.0458376</v>
      </c>
      <c r="F25" s="12" t="n">
        <v>0.0459638</v>
      </c>
      <c r="G25" s="13" t="n">
        <v>0.44</v>
      </c>
      <c r="H25" s="14" t="inlineStr">
        <is>
          <t>market</t>
        </is>
      </c>
      <c r="I25" s="15">
        <f>MAX($B$8,IF($B$9="",D25,MIN(D25,$B$9)))</f>
        <v/>
      </c>
      <c r="J25" s="15">
        <f>I25+$B$7/10000</f>
        <v/>
      </c>
    </row>
    <row r="26">
      <c r="A26" s="10" t="n">
        <v>46722</v>
      </c>
      <c r="B26" s="10" t="n">
        <v>46753</v>
      </c>
      <c r="C26" s="11" t="n">
        <v>31</v>
      </c>
      <c r="D26" s="12" t="n">
        <v>0.0458384</v>
      </c>
      <c r="E26" s="12" t="n">
        <v>0.04575389999999999</v>
      </c>
      <c r="F26" s="12" t="n">
        <v>0.0458898</v>
      </c>
      <c r="G26" s="13" t="n">
        <v>0.51</v>
      </c>
      <c r="H26" s="14" t="inlineStr">
        <is>
          <t>market</t>
        </is>
      </c>
      <c r="I26" s="15">
        <f>MAX($B$8,IF($B$9="",D26,MIN(D26,$B$9)))</f>
        <v/>
      </c>
      <c r="J26" s="15">
        <f>I26+$B$7/10000</f>
        <v/>
      </c>
    </row>
    <row r="27">
      <c r="A27" s="10" t="n">
        <v>46753</v>
      </c>
      <c r="B27" s="10" t="n">
        <v>46784</v>
      </c>
      <c r="C27" s="11" t="n">
        <v>31</v>
      </c>
      <c r="D27" s="12" t="n">
        <v>0.0458021</v>
      </c>
      <c r="E27" s="12" t="n">
        <v>0.0457179</v>
      </c>
      <c r="F27" s="12" t="n">
        <v>0.045858</v>
      </c>
      <c r="G27" s="13" t="n">
        <v>0.5600000000000001</v>
      </c>
      <c r="H27" s="14" t="inlineStr">
        <is>
          <t>market</t>
        </is>
      </c>
      <c r="I27" s="15">
        <f>MAX($B$8,IF($B$9="",D27,MIN(D27,$B$9)))</f>
        <v/>
      </c>
      <c r="J27" s="15">
        <f>I27+$B$7/10000</f>
        <v/>
      </c>
    </row>
    <row r="28">
      <c r="A28" s="10" t="n">
        <v>46784</v>
      </c>
      <c r="B28" s="10" t="n">
        <v>46813</v>
      </c>
      <c r="C28" s="11" t="n">
        <v>29</v>
      </c>
      <c r="D28" s="12" t="n">
        <v>0.0457603</v>
      </c>
      <c r="E28" s="12" t="n">
        <v>0.0456821</v>
      </c>
      <c r="F28" s="12" t="n">
        <v>0.0458266</v>
      </c>
      <c r="G28" s="13" t="n">
        <v>0.66</v>
      </c>
      <c r="H28" s="14" t="inlineStr">
        <is>
          <t>market</t>
        </is>
      </c>
      <c r="I28" s="15">
        <f>MAX($B$8,IF($B$9="",D28,MIN(D28,$B$9)))</f>
        <v/>
      </c>
      <c r="J28" s="15">
        <f>I28+$B$7/10000</f>
        <v/>
      </c>
    </row>
    <row r="29">
      <c r="A29" s="10" t="n">
        <v>46813</v>
      </c>
      <c r="B29" s="10" t="n">
        <v>46844</v>
      </c>
      <c r="C29" s="11" t="n">
        <v>31</v>
      </c>
      <c r="D29" s="12" t="n">
        <v>0.0455943</v>
      </c>
      <c r="E29" s="12" t="n">
        <v>0.0455102</v>
      </c>
      <c r="F29" s="12" t="n">
        <v>0.0456684</v>
      </c>
      <c r="G29" s="13" t="n">
        <v>0.74</v>
      </c>
      <c r="H29" s="14" t="inlineStr">
        <is>
          <t>market</t>
        </is>
      </c>
      <c r="I29" s="15">
        <f>MAX($B$8,IF($B$9="",D29,MIN(D29,$B$9)))</f>
        <v/>
      </c>
      <c r="J29" s="15">
        <f>I29+$B$7/10000</f>
        <v/>
      </c>
    </row>
    <row r="30">
      <c r="A30" s="10" t="n">
        <v>46844</v>
      </c>
      <c r="B30" s="10" t="n">
        <v>46874</v>
      </c>
      <c r="C30" s="11" t="n">
        <v>30</v>
      </c>
      <c r="D30" s="12" t="n">
        <v>0.0455113</v>
      </c>
      <c r="E30" s="12" t="n">
        <v>0.0454311</v>
      </c>
      <c r="F30" s="12" t="n">
        <v>0.0455943</v>
      </c>
      <c r="G30" s="13" t="n">
        <v>0.83</v>
      </c>
      <c r="H30" s="14" t="inlineStr">
        <is>
          <t>market</t>
        </is>
      </c>
      <c r="I30" s="15">
        <f>MAX($B$8,IF($B$9="",D30,MIN(D30,$B$9)))</f>
        <v/>
      </c>
      <c r="J30" s="15">
        <f>I30+$B$7/10000</f>
        <v/>
      </c>
    </row>
    <row r="31">
      <c r="A31" s="10" t="n">
        <v>46874</v>
      </c>
      <c r="B31" s="10" t="n">
        <v>46905</v>
      </c>
      <c r="C31" s="11" t="n">
        <v>31</v>
      </c>
      <c r="D31" s="12" t="n">
        <v>0.0454295</v>
      </c>
      <c r="E31" s="12" t="n">
        <v>0.0453465</v>
      </c>
      <c r="F31" s="12" t="n">
        <v>0.04552290000000001</v>
      </c>
      <c r="G31" s="13" t="n">
        <v>0.93</v>
      </c>
      <c r="H31" s="14" t="inlineStr">
        <is>
          <t>market</t>
        </is>
      </c>
      <c r="I31" s="15">
        <f>MAX($B$8,IF($B$9="",D31,MIN(D31,$B$9)))</f>
        <v/>
      </c>
      <c r="J31" s="15">
        <f>I31+$B$7/10000</f>
        <v/>
      </c>
    </row>
    <row r="32">
      <c r="A32" s="10" t="n">
        <v>46905</v>
      </c>
      <c r="B32" s="10" t="n">
        <v>46935</v>
      </c>
      <c r="C32" s="11" t="n">
        <v>30</v>
      </c>
      <c r="D32" s="12" t="n">
        <v>0.045355</v>
      </c>
      <c r="E32" s="12" t="n">
        <v>0.0452752</v>
      </c>
      <c r="F32" s="12" t="n">
        <v>0.0454585</v>
      </c>
      <c r="G32" s="13" t="n">
        <v>1.04</v>
      </c>
      <c r="H32" s="14" t="inlineStr">
        <is>
          <t>market</t>
        </is>
      </c>
      <c r="I32" s="15">
        <f>MAX($B$8,IF($B$9="",D32,MIN(D32,$B$9)))</f>
        <v/>
      </c>
      <c r="J32" s="15">
        <f>I32+$B$7/10000</f>
        <v/>
      </c>
    </row>
    <row r="33">
      <c r="A33" s="10" t="n">
        <v>46935</v>
      </c>
      <c r="B33" s="10" t="n">
        <v>46966</v>
      </c>
      <c r="C33" s="11" t="n">
        <v>31</v>
      </c>
      <c r="D33" s="12" t="n">
        <v>0.0452981</v>
      </c>
      <c r="E33" s="12" t="n">
        <v>0.0452154</v>
      </c>
      <c r="F33" s="12" t="n">
        <v>0.0454115</v>
      </c>
      <c r="G33" s="13" t="n">
        <v>1.13</v>
      </c>
      <c r="H33" s="14" t="inlineStr">
        <is>
          <t>market</t>
        </is>
      </c>
      <c r="I33" s="15">
        <f>MAX($B$8,IF($B$9="",D33,MIN(D33,$B$9)))</f>
        <v/>
      </c>
      <c r="J33" s="15">
        <f>I33+$B$7/10000</f>
        <v/>
      </c>
    </row>
    <row r="34">
      <c r="A34" s="10" t="n">
        <v>46966</v>
      </c>
      <c r="B34" s="10" t="n">
        <v>46997</v>
      </c>
      <c r="C34" s="11" t="n">
        <v>31</v>
      </c>
      <c r="D34" s="12" t="n">
        <v>0.0452352</v>
      </c>
      <c r="E34" s="12" t="n">
        <v>0.0451524</v>
      </c>
      <c r="F34" s="12" t="n">
        <v>0.0453603</v>
      </c>
      <c r="G34" s="13" t="n">
        <v>1.25</v>
      </c>
      <c r="H34" s="14" t="inlineStr">
        <is>
          <t>market</t>
        </is>
      </c>
      <c r="I34" s="15">
        <f>MAX($B$8,IF($B$9="",D34,MIN(D34,$B$9)))</f>
        <v/>
      </c>
      <c r="J34" s="15">
        <f>I34+$B$7/10000</f>
        <v/>
      </c>
    </row>
    <row r="35">
      <c r="A35" s="10" t="n">
        <v>46997</v>
      </c>
      <c r="B35" s="10" t="n">
        <v>47027</v>
      </c>
      <c r="C35" s="11" t="n">
        <v>30</v>
      </c>
      <c r="D35" s="12" t="n">
        <v>0.0451739</v>
      </c>
      <c r="E35" s="12" t="n">
        <v>0.04509490000000001</v>
      </c>
      <c r="F35" s="12" t="n">
        <v>0.0453104</v>
      </c>
      <c r="G35" s="13" t="n">
        <v>1.37</v>
      </c>
      <c r="H35" s="14" t="inlineStr">
        <is>
          <t>market</t>
        </is>
      </c>
      <c r="I35" s="15">
        <f>MAX($B$8,IF($B$9="",D35,MIN(D35,$B$9)))</f>
        <v/>
      </c>
      <c r="J35" s="15">
        <f>I35+$B$7/10000</f>
        <v/>
      </c>
    </row>
    <row r="36">
      <c r="A36" s="10" t="n">
        <v>47027</v>
      </c>
      <c r="B36" s="10" t="n">
        <v>47058</v>
      </c>
      <c r="C36" s="11" t="n">
        <v>31</v>
      </c>
      <c r="D36" s="12" t="n">
        <v>0.0451179</v>
      </c>
      <c r="E36" s="12" t="n">
        <v>0.04503599999999999</v>
      </c>
      <c r="F36" s="12" t="n">
        <v>0.045266</v>
      </c>
      <c r="G36" s="13" t="n">
        <v>1.48</v>
      </c>
      <c r="H36" s="14" t="inlineStr">
        <is>
          <t>market</t>
        </is>
      </c>
      <c r="I36" s="15">
        <f>MAX($B$8,IF($B$9="",D36,MIN(D36,$B$9)))</f>
        <v/>
      </c>
      <c r="J36" s="15">
        <f>I36+$B$7/10000</f>
        <v/>
      </c>
    </row>
    <row r="37">
      <c r="A37" s="10" t="n">
        <v>47058</v>
      </c>
      <c r="B37" s="10" t="n">
        <v>47088</v>
      </c>
      <c r="C37" s="11" t="n">
        <v>30</v>
      </c>
      <c r="D37" s="12" t="n">
        <v>0.0450446</v>
      </c>
      <c r="E37" s="12" t="n">
        <v>0.0449655</v>
      </c>
      <c r="F37" s="12" t="n">
        <v>0.0452055</v>
      </c>
      <c r="G37" s="13" t="n">
        <v>1.61</v>
      </c>
      <c r="H37" s="14" t="inlineStr">
        <is>
          <t>market</t>
        </is>
      </c>
      <c r="I37" s="15">
        <f>MAX($B$8,IF($B$9="",D37,MIN(D37,$B$9)))</f>
        <v/>
      </c>
      <c r="J37" s="15">
        <f>I37+$B$7/10000</f>
        <v/>
      </c>
    </row>
    <row r="38">
      <c r="A38" s="10" t="n">
        <v>47088</v>
      </c>
      <c r="B38" s="10" t="n">
        <v>47119</v>
      </c>
      <c r="C38" s="11" t="n">
        <v>31</v>
      </c>
      <c r="D38" s="12" t="n">
        <v>0.0449695</v>
      </c>
      <c r="E38" s="12" t="n">
        <v>0.0448887</v>
      </c>
      <c r="F38" s="12" t="n">
        <v>0.0451433</v>
      </c>
      <c r="G38" s="13" t="n">
        <v>1.74</v>
      </c>
      <c r="H38" s="14" t="inlineStr">
        <is>
          <t>market</t>
        </is>
      </c>
      <c r="I38" s="15">
        <f>MAX($B$8,IF($B$9="",D38,MIN(D38,$B$9)))</f>
        <v/>
      </c>
      <c r="J38" s="15">
        <f>I38+$B$7/10000</f>
        <v/>
      </c>
    </row>
    <row r="39">
      <c r="A39" s="10" t="n">
        <v>47119</v>
      </c>
      <c r="B39" s="10" t="n">
        <v>47150</v>
      </c>
      <c r="C39" s="11" t="n">
        <v>31</v>
      </c>
      <c r="D39" s="12" t="n">
        <v>0.04489</v>
      </c>
      <c r="E39" s="12" t="n">
        <v>0.044809</v>
      </c>
      <c r="F39" s="12" t="n">
        <v>0.0450768</v>
      </c>
      <c r="G39" s="13" t="n">
        <v>1.87</v>
      </c>
      <c r="H39" s="14" t="inlineStr">
        <is>
          <t>market</t>
        </is>
      </c>
      <c r="I39" s="15">
        <f>MAX($B$8,IF($B$9="",D39,MIN(D39,$B$9)))</f>
        <v/>
      </c>
      <c r="J39" s="15">
        <f>I39+$B$7/10000</f>
        <v/>
      </c>
    </row>
    <row r="40">
      <c r="A40" s="10" t="n">
        <v>47150</v>
      </c>
      <c r="B40" s="10" t="n">
        <v>47178</v>
      </c>
      <c r="C40" s="11" t="n">
        <v>28</v>
      </c>
      <c r="D40" s="12" t="n">
        <v>0.0447949</v>
      </c>
      <c r="E40" s="12" t="n">
        <v>0.04472279999999999</v>
      </c>
      <c r="F40" s="12" t="n">
        <v>0.0449956</v>
      </c>
      <c r="G40" s="13" t="n">
        <v>2.01</v>
      </c>
      <c r="H40" s="14" t="inlineStr">
        <is>
          <t>market</t>
        </is>
      </c>
      <c r="I40" s="15">
        <f>MAX($B$8,IF($B$9="",D40,MIN(D40,$B$9)))</f>
        <v/>
      </c>
      <c r="J40" s="15">
        <f>I40+$B$7/10000</f>
        <v/>
      </c>
    </row>
    <row r="41">
      <c r="A41" s="10" t="n">
        <v>47178</v>
      </c>
      <c r="B41" s="10" t="n">
        <v>47209</v>
      </c>
      <c r="C41" s="11" t="n">
        <v>31</v>
      </c>
      <c r="D41" s="12" t="n">
        <v>0.04472089999999999</v>
      </c>
      <c r="E41" s="12" t="n">
        <v>0.0446404</v>
      </c>
      <c r="F41" s="12" t="n">
        <v>0.0449357</v>
      </c>
      <c r="G41" s="13" t="n">
        <v>2.15</v>
      </c>
      <c r="H41" s="14" t="inlineStr">
        <is>
          <t>market</t>
        </is>
      </c>
      <c r="I41" s="15">
        <f>MAX($B$8,IF($B$9="",D41,MIN(D41,$B$9)))</f>
        <v/>
      </c>
      <c r="J41" s="15">
        <f>I41+$B$7/10000</f>
        <v/>
      </c>
    </row>
    <row r="42">
      <c r="A42" s="10" t="n">
        <v>47209</v>
      </c>
      <c r="B42" s="10" t="n">
        <v>47239</v>
      </c>
      <c r="C42" s="11" t="n">
        <v>30</v>
      </c>
      <c r="D42" s="12" t="n">
        <v>0.0446403</v>
      </c>
      <c r="E42" s="12" t="n">
        <v>0.0445625</v>
      </c>
      <c r="F42" s="12" t="n">
        <v>0.0448692</v>
      </c>
      <c r="G42" s="13" t="n">
        <v>2.29</v>
      </c>
      <c r="H42" s="14" t="inlineStr">
        <is>
          <t>market</t>
        </is>
      </c>
      <c r="I42" s="15">
        <f>MAX($B$8,IF($B$9="",D42,MIN(D42,$B$9)))</f>
        <v/>
      </c>
      <c r="J42" s="15">
        <f>I42+$B$7/10000</f>
        <v/>
      </c>
    </row>
    <row r="43">
      <c r="A43" s="10" t="n">
        <v>47239</v>
      </c>
      <c r="B43" s="10" t="n">
        <v>47270</v>
      </c>
      <c r="C43" s="11" t="n">
        <v>31</v>
      </c>
      <c r="D43" s="12" t="n">
        <v>0.0445611</v>
      </c>
      <c r="E43" s="12" t="n">
        <v>0.04448120000000001</v>
      </c>
      <c r="F43" s="12" t="n">
        <v>0.04480559999999999</v>
      </c>
      <c r="G43" s="13" t="n">
        <v>2.45</v>
      </c>
      <c r="H43" s="14" t="inlineStr">
        <is>
          <t>market</t>
        </is>
      </c>
      <c r="I43" s="15">
        <f>MAX($B$8,IF($B$9="",D43,MIN(D43,$B$9)))</f>
        <v/>
      </c>
      <c r="J43" s="15">
        <f>I43+$B$7/10000</f>
        <v/>
      </c>
    </row>
    <row r="44">
      <c r="A44" s="10" t="n">
        <v>47270</v>
      </c>
      <c r="B44" s="10" t="n">
        <v>47300</v>
      </c>
      <c r="C44" s="11" t="n">
        <v>30</v>
      </c>
      <c r="D44" s="12" t="n">
        <v>0.0444845</v>
      </c>
      <c r="E44" s="12" t="n">
        <v>0.0444075</v>
      </c>
      <c r="F44" s="12" t="n">
        <v>0.0447448</v>
      </c>
      <c r="G44" s="13" t="n">
        <v>2.6</v>
      </c>
      <c r="H44" s="14" t="inlineStr">
        <is>
          <t>market</t>
        </is>
      </c>
      <c r="I44" s="15">
        <f>MAX($B$8,IF($B$9="",D44,MIN(D44,$B$9)))</f>
        <v/>
      </c>
      <c r="J44" s="15">
        <f>I44+$B$7/10000</f>
        <v/>
      </c>
    </row>
    <row r="45">
      <c r="A45" s="10" t="n">
        <v>47300</v>
      </c>
      <c r="B45" s="10" t="n">
        <v>47331</v>
      </c>
      <c r="C45" s="11" t="n">
        <v>31</v>
      </c>
      <c r="D45" s="12" t="n">
        <v>0.0444263</v>
      </c>
      <c r="E45" s="12" t="n">
        <v>0.0443466</v>
      </c>
      <c r="F45" s="12" t="n">
        <v>0.0447025</v>
      </c>
      <c r="G45" s="13" t="n">
        <v>2.76</v>
      </c>
      <c r="H45" s="14" t="inlineStr">
        <is>
          <t>market</t>
        </is>
      </c>
      <c r="I45" s="15">
        <f>MAX($B$8,IF($B$9="",D45,MIN(D45,$B$9)))</f>
        <v/>
      </c>
      <c r="J45" s="15">
        <f>I45+$B$7/10000</f>
        <v/>
      </c>
    </row>
    <row r="46">
      <c r="A46" s="10" t="n">
        <v>47331</v>
      </c>
      <c r="B46" s="10" t="n">
        <v>47362</v>
      </c>
      <c r="C46" s="11" t="n">
        <v>31</v>
      </c>
      <c r="D46" s="12" t="n">
        <v>0.0443768</v>
      </c>
      <c r="E46" s="12" t="n">
        <v>0.0442971</v>
      </c>
      <c r="F46" s="12" t="n">
        <v>0.0446701</v>
      </c>
      <c r="G46" s="13" t="n">
        <v>2.93</v>
      </c>
      <c r="H46" s="14" t="inlineStr">
        <is>
          <t>market</t>
        </is>
      </c>
      <c r="I46" s="15">
        <f>MAX($B$8,IF($B$9="",D46,MIN(D46,$B$9)))</f>
        <v/>
      </c>
      <c r="J46" s="15">
        <f>I46+$B$7/10000</f>
        <v/>
      </c>
    </row>
    <row r="47">
      <c r="A47" s="10" t="n">
        <v>47362</v>
      </c>
      <c r="B47" s="10" t="n">
        <v>47392</v>
      </c>
      <c r="C47" s="11" t="n">
        <v>30</v>
      </c>
      <c r="D47" s="12" t="n">
        <v>0.0443428</v>
      </c>
      <c r="E47" s="12" t="n">
        <v>0.04426650000000001</v>
      </c>
      <c r="F47" s="12" t="n">
        <v>0.0446512</v>
      </c>
      <c r="G47" s="13" t="n">
        <v>3.08</v>
      </c>
      <c r="H47" s="14" t="inlineStr">
        <is>
          <t>market</t>
        </is>
      </c>
      <c r="I47" s="15">
        <f>MAX($B$8,IF($B$9="",D47,MIN(D47,$B$9)))</f>
        <v/>
      </c>
      <c r="J47" s="15">
        <f>I47+$B$7/10000</f>
        <v/>
      </c>
    </row>
    <row r="48">
      <c r="A48" s="10" t="n">
        <v>47392</v>
      </c>
      <c r="B48" s="10" t="n">
        <v>47423</v>
      </c>
      <c r="C48" s="11" t="n">
        <v>31</v>
      </c>
      <c r="D48" s="12" t="n">
        <v>0.0443124</v>
      </c>
      <c r="E48" s="12" t="n">
        <v>0.0442334</v>
      </c>
      <c r="F48" s="12" t="n">
        <v>0.0446398</v>
      </c>
      <c r="G48" s="13" t="n">
        <v>3.27</v>
      </c>
      <c r="H48" s="14" t="inlineStr">
        <is>
          <t>market</t>
        </is>
      </c>
      <c r="I48" s="15">
        <f>MAX($B$8,IF($B$9="",D48,MIN(D48,$B$9)))</f>
        <v/>
      </c>
      <c r="J48" s="15">
        <f>I48+$B$7/10000</f>
        <v/>
      </c>
    </row>
    <row r="49">
      <c r="A49" s="10" t="n">
        <v>47423</v>
      </c>
      <c r="B49" s="10" t="n">
        <v>47453</v>
      </c>
      <c r="C49" s="11" t="n">
        <v>30</v>
      </c>
      <c r="D49" s="12" t="n">
        <v>0.0442748</v>
      </c>
      <c r="E49" s="12" t="n">
        <v>0.0441989</v>
      </c>
      <c r="F49" s="12" t="n">
        <v>0.0446197</v>
      </c>
      <c r="G49" s="13" t="n">
        <v>3.45</v>
      </c>
      <c r="H49" s="14" t="inlineStr">
        <is>
          <t>market</t>
        </is>
      </c>
      <c r="I49" s="15">
        <f>MAX($B$8,IF($B$9="",D49,MIN(D49,$B$9)))</f>
        <v/>
      </c>
      <c r="J49" s="15">
        <f>I49+$B$7/10000</f>
        <v/>
      </c>
    </row>
    <row r="50">
      <c r="A50" s="10" t="n">
        <v>47453</v>
      </c>
      <c r="B50" s="10" t="n">
        <v>47484</v>
      </c>
      <c r="C50" s="11" t="n">
        <v>31</v>
      </c>
      <c r="D50" s="12" t="n">
        <v>0.044241</v>
      </c>
      <c r="E50" s="12" t="n">
        <v>0.0441621</v>
      </c>
      <c r="F50" s="12" t="n">
        <v>0.04460289999999999</v>
      </c>
      <c r="G50" s="13" t="n">
        <v>3.62</v>
      </c>
      <c r="H50" s="14" t="inlineStr">
        <is>
          <t>market</t>
        </is>
      </c>
      <c r="I50" s="15">
        <f>MAX($B$8,IF($B$9="",D50,MIN(D50,$B$9)))</f>
        <v/>
      </c>
      <c r="J50" s="15">
        <f>I50+$B$7/10000</f>
        <v/>
      </c>
    </row>
    <row r="51">
      <c r="A51" s="10" t="n">
        <v>47484</v>
      </c>
      <c r="B51" s="10" t="n">
        <v>47515</v>
      </c>
      <c r="C51" s="11" t="n">
        <v>31</v>
      </c>
      <c r="D51" s="12" t="n">
        <v>0.0442047</v>
      </c>
      <c r="E51" s="12" t="n">
        <v>0.0441261</v>
      </c>
      <c r="F51" s="12" t="n">
        <v>0.0445856</v>
      </c>
      <c r="G51" s="13" t="n">
        <v>3.81</v>
      </c>
      <c r="H51" s="14" t="inlineStr">
        <is>
          <t>market</t>
        </is>
      </c>
      <c r="I51" s="15">
        <f>MAX($B$8,IF($B$9="",D51,MIN(D51,$B$9)))</f>
        <v/>
      </c>
      <c r="J51" s="15">
        <f>I51+$B$7/10000</f>
        <v/>
      </c>
    </row>
    <row r="52">
      <c r="A52" s="10" t="n">
        <v>47515</v>
      </c>
      <c r="B52" s="10" t="n">
        <v>47543</v>
      </c>
      <c r="C52" s="11" t="n">
        <v>28</v>
      </c>
      <c r="D52" s="12" t="n">
        <v>0.0441752</v>
      </c>
      <c r="E52" s="12" t="n">
        <v>0.0441051</v>
      </c>
      <c r="F52" s="12" t="n">
        <v>0.0445754</v>
      </c>
      <c r="G52" s="13" t="n">
        <v>4</v>
      </c>
      <c r="H52" s="14" t="inlineStr">
        <is>
          <t>market</t>
        </is>
      </c>
      <c r="I52" s="15">
        <f>MAX($B$8,IF($B$9="",D52,MIN(D52,$B$9)))</f>
        <v/>
      </c>
      <c r="J52" s="15">
        <f>I52+$B$7/10000</f>
        <v/>
      </c>
    </row>
    <row r="53">
      <c r="A53" s="10" t="n">
        <v>47543</v>
      </c>
      <c r="B53" s="10" t="n">
        <v>47574</v>
      </c>
      <c r="C53" s="11" t="n">
        <v>31</v>
      </c>
      <c r="D53" s="12" t="n">
        <v>0.0441786</v>
      </c>
      <c r="E53" s="12" t="n">
        <v>0.0441001</v>
      </c>
      <c r="F53" s="12" t="n">
        <v>0.0445982</v>
      </c>
      <c r="G53" s="13" t="n">
        <v>4.2</v>
      </c>
      <c r="H53" s="14" t="inlineStr">
        <is>
          <t>market</t>
        </is>
      </c>
      <c r="I53" s="15">
        <f>MAX($B$8,IF($B$9="",D53,MIN(D53,$B$9)))</f>
        <v/>
      </c>
      <c r="J53" s="15">
        <f>I53+$B$7/10000</f>
        <v/>
      </c>
    </row>
    <row r="54">
      <c r="A54" s="10" t="n">
        <v>47574</v>
      </c>
      <c r="B54" s="10" t="n">
        <v>47604</v>
      </c>
      <c r="C54" s="11" t="n">
        <v>30</v>
      </c>
      <c r="D54" s="12" t="n">
        <v>0.04417740000000001</v>
      </c>
      <c r="E54" s="12" t="n">
        <v>0.0441017</v>
      </c>
      <c r="F54" s="12" t="n">
        <v>0.0446165</v>
      </c>
      <c r="G54" s="13" t="n">
        <v>4.39</v>
      </c>
      <c r="H54" s="14" t="inlineStr">
        <is>
          <t>market</t>
        </is>
      </c>
      <c r="I54" s="15">
        <f>MAX($B$8,IF($B$9="",D54,MIN(D54,$B$9)))</f>
        <v/>
      </c>
      <c r="J54" s="15">
        <f>I54+$B$7/10000</f>
        <v/>
      </c>
    </row>
    <row r="55">
      <c r="A55" s="10" t="n">
        <v>47604</v>
      </c>
      <c r="B55" s="10" t="n">
        <v>47635</v>
      </c>
      <c r="C55" s="11" t="n">
        <v>31</v>
      </c>
      <c r="D55" s="12" t="n">
        <v>0.0441775</v>
      </c>
      <c r="E55" s="12" t="n">
        <v>0.04409900000000001</v>
      </c>
      <c r="F55" s="12" t="n">
        <v>0.0446369</v>
      </c>
      <c r="G55" s="13" t="n">
        <v>4.59</v>
      </c>
      <c r="H55" s="14" t="inlineStr">
        <is>
          <t>market</t>
        </is>
      </c>
      <c r="I55" s="15">
        <f>MAX($B$8,IF($B$9="",D55,MIN(D55,$B$9)))</f>
        <v/>
      </c>
      <c r="J55" s="15">
        <f>I55+$B$7/10000</f>
        <v/>
      </c>
    </row>
    <row r="56">
      <c r="A56" s="10" t="n">
        <v>47635</v>
      </c>
      <c r="B56" s="10" t="n">
        <v>47665</v>
      </c>
      <c r="C56" s="11" t="n">
        <v>30</v>
      </c>
      <c r="D56" s="12" t="n">
        <v>0.0441674</v>
      </c>
      <c r="E56" s="12" t="n">
        <v>0.04409150000000001</v>
      </c>
      <c r="F56" s="12" t="n">
        <v>0.044646</v>
      </c>
      <c r="G56" s="13" t="n">
        <v>4.79</v>
      </c>
      <c r="H56" s="14" t="inlineStr">
        <is>
          <t>market</t>
        </is>
      </c>
      <c r="I56" s="15">
        <f>MAX($B$8,IF($B$9="",D56,MIN(D56,$B$9)))</f>
        <v/>
      </c>
      <c r="J56" s="15">
        <f>I56+$B$7/10000</f>
        <v/>
      </c>
    </row>
    <row r="57">
      <c r="A57" s="10" t="n">
        <v>47665</v>
      </c>
      <c r="B57" s="10" t="n">
        <v>47696</v>
      </c>
      <c r="C57" s="11" t="n">
        <v>31</v>
      </c>
      <c r="D57" s="12" t="n">
        <v>0.0441657</v>
      </c>
      <c r="E57" s="12" t="n">
        <v>0.0440869</v>
      </c>
      <c r="F57" s="12" t="n">
        <v>0.0446668</v>
      </c>
      <c r="G57" s="13" t="n">
        <v>5.01</v>
      </c>
      <c r="H57" s="14" t="inlineStr">
        <is>
          <t>market</t>
        </is>
      </c>
      <c r="I57" s="15">
        <f>MAX($B$8,IF($B$9="",D57,MIN(D57,$B$9)))</f>
        <v/>
      </c>
      <c r="J57" s="15">
        <f>I57+$B$7/10000</f>
        <v/>
      </c>
    </row>
    <row r="58">
      <c r="A58" s="10" t="n">
        <v>47696</v>
      </c>
      <c r="B58" s="10" t="n">
        <v>47727</v>
      </c>
      <c r="C58" s="11" t="n">
        <v>31</v>
      </c>
      <c r="D58" s="12" t="n">
        <v>0.04417620000000001</v>
      </c>
      <c r="E58" s="12" t="n">
        <v>0.0440973</v>
      </c>
      <c r="F58" s="12" t="n">
        <v>0.0446987</v>
      </c>
      <c r="G58" s="13" t="n">
        <v>5.22</v>
      </c>
      <c r="H58" s="14" t="inlineStr">
        <is>
          <t>market</t>
        </is>
      </c>
      <c r="I58" s="15">
        <f>MAX($B$8,IF($B$9="",D58,MIN(D58,$B$9)))</f>
        <v/>
      </c>
      <c r="J58" s="15">
        <f>I58+$B$7/10000</f>
        <v/>
      </c>
    </row>
    <row r="59">
      <c r="A59" s="10" t="n">
        <v>47727</v>
      </c>
      <c r="B59" s="10" t="n">
        <v>47757</v>
      </c>
      <c r="C59" s="11" t="n">
        <v>30</v>
      </c>
      <c r="D59" s="12" t="n">
        <v>0.0441977</v>
      </c>
      <c r="E59" s="12" t="n">
        <v>0.04412149999999999</v>
      </c>
      <c r="F59" s="12" t="n">
        <v>0.0447403</v>
      </c>
      <c r="G59" s="13" t="n">
        <v>5.43</v>
      </c>
      <c r="H59" s="14" t="inlineStr">
        <is>
          <t>market</t>
        </is>
      </c>
      <c r="I59" s="15">
        <f>MAX($B$8,IF($B$9="",D59,MIN(D59,$B$9)))</f>
        <v/>
      </c>
      <c r="J59" s="15">
        <f>I59+$B$7/10000</f>
        <v/>
      </c>
    </row>
    <row r="60">
      <c r="A60" s="10" t="n">
        <v>47757</v>
      </c>
      <c r="B60" s="10" t="n">
        <v>47788</v>
      </c>
      <c r="C60" s="11" t="n">
        <v>31</v>
      </c>
      <c r="D60" s="12" t="n">
        <v>0.04423390000000001</v>
      </c>
      <c r="E60" s="12" t="n">
        <v>0.0441552</v>
      </c>
      <c r="F60" s="12" t="n">
        <v>0.0448003</v>
      </c>
      <c r="G60" s="13" t="n">
        <v>5.66</v>
      </c>
      <c r="H60" s="14" t="inlineStr">
        <is>
          <t>market</t>
        </is>
      </c>
      <c r="I60" s="15">
        <f>MAX($B$8,IF($B$9="",D60,MIN(D60,$B$9)))</f>
        <v/>
      </c>
      <c r="J60" s="15">
        <f>I60+$B$7/10000</f>
        <v/>
      </c>
    </row>
    <row r="61">
      <c r="A61" s="10" t="n">
        <v>47788</v>
      </c>
      <c r="B61" s="10" t="n">
        <v>47818</v>
      </c>
      <c r="C61" s="11" t="n">
        <v>30</v>
      </c>
      <c r="D61" s="12" t="n">
        <v>0.0442587</v>
      </c>
      <c r="E61" s="12" t="n">
        <v>0.0441831</v>
      </c>
      <c r="F61" s="12" t="n">
        <v>0.0448479</v>
      </c>
      <c r="G61" s="13" t="n">
        <v>5.89</v>
      </c>
      <c r="H61" s="14" t="inlineStr">
        <is>
          <t>market</t>
        </is>
      </c>
      <c r="I61" s="15">
        <f>MAX($B$8,IF($B$9="",D61,MIN(D61,$B$9)))</f>
        <v/>
      </c>
      <c r="J61" s="15">
        <f>I61+$B$7/10000</f>
        <v/>
      </c>
    </row>
    <row r="62">
      <c r="A62" s="10" t="n">
        <v>47818</v>
      </c>
      <c r="B62" s="10" t="n">
        <v>47849</v>
      </c>
      <c r="C62" s="11" t="n">
        <v>31</v>
      </c>
      <c r="D62" s="12" t="n">
        <v>0.04428480000000001</v>
      </c>
      <c r="E62" s="12" t="n">
        <v>0.0442056</v>
      </c>
      <c r="F62" s="12" t="n">
        <v>0.0448968</v>
      </c>
      <c r="G62" s="13" t="n">
        <v>6.12</v>
      </c>
      <c r="H62" s="14" t="inlineStr">
        <is>
          <t>market</t>
        </is>
      </c>
      <c r="I62" s="15">
        <f>MAX($B$8,IF($B$9="",D62,MIN(D62,$B$9)))</f>
        <v/>
      </c>
      <c r="J62" s="15">
        <f>I62+$B$7/10000</f>
        <v/>
      </c>
    </row>
    <row r="63">
      <c r="A63" s="10" t="n">
        <v>47849</v>
      </c>
      <c r="B63" s="10" t="n">
        <v>47880</v>
      </c>
      <c r="C63" s="11" t="n">
        <v>31</v>
      </c>
      <c r="D63" s="12" t="n">
        <v>0.0443122</v>
      </c>
      <c r="E63" s="12" t="n">
        <v>0.0442332</v>
      </c>
      <c r="F63" s="12" t="n">
        <v>0.0449478</v>
      </c>
      <c r="G63" s="13" t="n">
        <v>6.36</v>
      </c>
      <c r="H63" s="14" t="inlineStr">
        <is>
          <t>market</t>
        </is>
      </c>
      <c r="I63" s="15">
        <f>MAX($B$8,IF($B$9="",D63,MIN(D63,$B$9)))</f>
        <v/>
      </c>
      <c r="J63" s="15">
        <f>I63+$B$7/10000</f>
        <v/>
      </c>
    </row>
    <row r="64">
      <c r="A64" s="10" t="n">
        <v>47880</v>
      </c>
      <c r="B64" s="10" t="n">
        <v>47908</v>
      </c>
      <c r="C64" s="11" t="n">
        <v>28</v>
      </c>
      <c r="D64" s="12" t="n">
        <v>0.044344</v>
      </c>
      <c r="E64" s="12" t="n">
        <v>0.044273</v>
      </c>
      <c r="F64" s="12" t="n">
        <v>0.0450019</v>
      </c>
      <c r="G64" s="13" t="n">
        <v>6.58</v>
      </c>
      <c r="H64" s="14" t="inlineStr">
        <is>
          <t>market</t>
        </is>
      </c>
      <c r="I64" s="15">
        <f>MAX($B$8,IF($B$9="",D64,MIN(D64,$B$9)))</f>
        <v/>
      </c>
      <c r="J64" s="15">
        <f>I64+$B$7/10000</f>
        <v/>
      </c>
    </row>
    <row r="65">
      <c r="A65" s="10" t="n">
        <v>47908</v>
      </c>
      <c r="B65" s="10" t="n">
        <v>47939</v>
      </c>
      <c r="C65" s="11" t="n">
        <v>31</v>
      </c>
      <c r="D65" s="12" t="n">
        <v>0.0444078</v>
      </c>
      <c r="E65" s="12" t="n">
        <v>0.0443281</v>
      </c>
      <c r="F65" s="12" t="n">
        <v>0.0450896</v>
      </c>
      <c r="G65" s="13" t="n">
        <v>6.82</v>
      </c>
      <c r="H65" s="14" t="inlineStr">
        <is>
          <t>market</t>
        </is>
      </c>
      <c r="I65" s="15">
        <f>MAX($B$8,IF($B$9="",D65,MIN(D65,$B$9)))</f>
        <v/>
      </c>
      <c r="J65" s="15">
        <f>I65+$B$7/10000</f>
        <v/>
      </c>
    </row>
    <row r="66">
      <c r="A66" s="10" t="n">
        <v>47939</v>
      </c>
      <c r="B66" s="10" t="n">
        <v>47969</v>
      </c>
      <c r="C66" s="11" t="n">
        <v>30</v>
      </c>
      <c r="D66" s="12" t="n">
        <v>0.0444696</v>
      </c>
      <c r="E66" s="12" t="n">
        <v>0.0443929</v>
      </c>
      <c r="F66" s="12" t="n">
        <v>0.0451764</v>
      </c>
      <c r="G66" s="13" t="n">
        <v>7.07</v>
      </c>
      <c r="H66" s="14" t="inlineStr">
        <is>
          <t>market</t>
        </is>
      </c>
      <c r="I66" s="15">
        <f>MAX($B$8,IF($B$9="",D66,MIN(D66,$B$9)))</f>
        <v/>
      </c>
      <c r="J66" s="15">
        <f>I66+$B$7/10000</f>
        <v/>
      </c>
    </row>
    <row r="67">
      <c r="A67" s="10" t="n">
        <v>47969</v>
      </c>
      <c r="B67" s="10" t="n">
        <v>48000</v>
      </c>
      <c r="C67" s="11" t="n">
        <v>31</v>
      </c>
      <c r="D67" s="12" t="n">
        <v>0.0445296</v>
      </c>
      <c r="E67" s="12" t="n">
        <v>0.04445</v>
      </c>
      <c r="F67" s="12" t="n">
        <v>0.0452608</v>
      </c>
      <c r="G67" s="13" t="n">
        <v>7.31</v>
      </c>
      <c r="H67" s="14" t="inlineStr">
        <is>
          <t>market</t>
        </is>
      </c>
      <c r="I67" s="15">
        <f>MAX($B$8,IF($B$9="",D67,MIN(D67,$B$9)))</f>
        <v/>
      </c>
      <c r="J67" s="15">
        <f>I67+$B$7/10000</f>
        <v/>
      </c>
    </row>
    <row r="68">
      <c r="A68" s="10" t="n">
        <v>48000</v>
      </c>
      <c r="B68" s="10" t="n">
        <v>48030</v>
      </c>
      <c r="C68" s="11" t="n">
        <v>30</v>
      </c>
      <c r="D68" s="12" t="n">
        <v>0.0445787</v>
      </c>
      <c r="E68" s="12" t="n">
        <v>0.04450129999999999</v>
      </c>
      <c r="F68" s="12" t="n">
        <v>0.0453341</v>
      </c>
      <c r="G68" s="13" t="n">
        <v>7.55</v>
      </c>
      <c r="H68" s="14" t="inlineStr">
        <is>
          <t>market</t>
        </is>
      </c>
      <c r="I68" s="15">
        <f>MAX($B$8,IF($B$9="",D68,MIN(D68,$B$9)))</f>
        <v/>
      </c>
      <c r="J68" s="15">
        <f>I68+$B$7/10000</f>
        <v/>
      </c>
    </row>
    <row r="69">
      <c r="A69" s="10" t="n">
        <v>48030</v>
      </c>
      <c r="B69" s="10" t="n">
        <v>48061</v>
      </c>
      <c r="C69" s="11" t="n">
        <v>31</v>
      </c>
      <c r="D69" s="12" t="n">
        <v>0.044642</v>
      </c>
      <c r="E69" s="12" t="n">
        <v>0.0445619</v>
      </c>
      <c r="F69" s="12" t="n">
        <v>0.045424</v>
      </c>
      <c r="G69" s="13" t="n">
        <v>7.82</v>
      </c>
      <c r="H69" s="14" t="inlineStr">
        <is>
          <t>market</t>
        </is>
      </c>
      <c r="I69" s="15">
        <f>MAX($B$8,IF($B$9="",D69,MIN(D69,$B$9)))</f>
        <v/>
      </c>
      <c r="J69" s="15">
        <f>I69+$B$7/10000</f>
        <v/>
      </c>
    </row>
    <row r="70">
      <c r="A70" s="10" t="n">
        <v>48061</v>
      </c>
      <c r="B70" s="10" t="n">
        <v>48092</v>
      </c>
      <c r="C70" s="11" t="n">
        <v>31</v>
      </c>
      <c r="D70" s="12" t="n">
        <v>0.0447173</v>
      </c>
      <c r="E70" s="12" t="n">
        <v>0.0446368</v>
      </c>
      <c r="F70" s="12" t="n">
        <v>0.04552539999999999</v>
      </c>
      <c r="G70" s="13" t="n">
        <v>8.08</v>
      </c>
      <c r="H70" s="14" t="inlineStr">
        <is>
          <t>market</t>
        </is>
      </c>
      <c r="I70" s="15">
        <f>MAX($B$8,IF($B$9="",D70,MIN(D70,$B$9)))</f>
        <v/>
      </c>
      <c r="J70" s="15">
        <f>I70+$B$7/10000</f>
        <v/>
      </c>
    </row>
    <row r="71">
      <c r="A71" s="10" t="n">
        <v>48092</v>
      </c>
      <c r="B71" s="10" t="n">
        <v>48122</v>
      </c>
      <c r="C71" s="11" t="n">
        <v>30</v>
      </c>
      <c r="D71" s="12" t="n">
        <v>0.044803</v>
      </c>
      <c r="E71" s="12" t="n">
        <v>0.0447246</v>
      </c>
      <c r="F71" s="12" t="n">
        <v>0.0456366</v>
      </c>
      <c r="G71" s="13" t="n">
        <v>8.34</v>
      </c>
      <c r="H71" s="14" t="inlineStr">
        <is>
          <t>market</t>
        </is>
      </c>
      <c r="I71" s="15">
        <f>MAX($B$8,IF($B$9="",D71,MIN(D71,$B$9)))</f>
        <v/>
      </c>
      <c r="J71" s="15">
        <f>I71+$B$7/10000</f>
        <v/>
      </c>
    </row>
    <row r="72">
      <c r="A72" s="10" t="n">
        <v>48122</v>
      </c>
      <c r="B72" s="10" t="n">
        <v>48153</v>
      </c>
      <c r="C72" s="11" t="n">
        <v>31</v>
      </c>
      <c r="D72" s="12" t="n">
        <v>0.0449039</v>
      </c>
      <c r="E72" s="12" t="n">
        <v>0.0448228</v>
      </c>
      <c r="F72" s="12" t="n">
        <v>0.0457653</v>
      </c>
      <c r="G72" s="13" t="n">
        <v>8.609999999999999</v>
      </c>
      <c r="H72" s="14" t="inlineStr">
        <is>
          <t>market</t>
        </is>
      </c>
      <c r="I72" s="15">
        <f>MAX($B$8,IF($B$9="",D72,MIN(D72,$B$9)))</f>
        <v/>
      </c>
      <c r="J72" s="15">
        <f>I72+$B$7/10000</f>
        <v/>
      </c>
    </row>
    <row r="73">
      <c r="A73" s="10" t="n">
        <v>48153</v>
      </c>
      <c r="B73" s="10" t="n">
        <v>48183</v>
      </c>
      <c r="C73" s="11" t="n">
        <v>30</v>
      </c>
      <c r="D73" s="12" t="n">
        <v>0.04498249999999999</v>
      </c>
      <c r="E73" s="12" t="n">
        <v>0.044904</v>
      </c>
      <c r="F73" s="12" t="n">
        <v>0.045869</v>
      </c>
      <c r="G73" s="13" t="n">
        <v>8.859999999999999</v>
      </c>
      <c r="H73" s="14" t="inlineStr">
        <is>
          <t>market</t>
        </is>
      </c>
      <c r="I73" s="15">
        <f>MAX($B$8,IF($B$9="",D73,MIN(D73,$B$9)))</f>
        <v/>
      </c>
      <c r="J73" s="15">
        <f>I73+$B$7/10000</f>
        <v/>
      </c>
    </row>
    <row r="74">
      <c r="A74" s="10" t="n">
        <v>48183</v>
      </c>
      <c r="B74" s="10" t="n">
        <v>48214</v>
      </c>
      <c r="C74" s="11" t="n">
        <v>31</v>
      </c>
      <c r="D74" s="12" t="n">
        <v>0.04506719999999999</v>
      </c>
      <c r="E74" s="12" t="n">
        <v>0.04498509999999999</v>
      </c>
      <c r="F74" s="12" t="n">
        <v>0.045983</v>
      </c>
      <c r="G74" s="13" t="n">
        <v>9.16</v>
      </c>
      <c r="H74" s="14" t="inlineStr">
        <is>
          <t>market</t>
        </is>
      </c>
      <c r="I74" s="15">
        <f>MAX($B$8,IF($B$9="",D74,MIN(D74,$B$9)))</f>
        <v/>
      </c>
      <c r="J74" s="15">
        <f>I74+$B$7/10000</f>
        <v/>
      </c>
    </row>
    <row r="75">
      <c r="A75" s="10" t="n">
        <v>48214</v>
      </c>
      <c r="B75" s="10" t="n">
        <v>48245</v>
      </c>
      <c r="C75" s="11" t="n">
        <v>31</v>
      </c>
      <c r="D75" s="12" t="n">
        <v>0.04513259999999999</v>
      </c>
      <c r="E75" s="12" t="n">
        <v>0.0450509</v>
      </c>
      <c r="F75" s="12" t="n">
        <v>0.0460752</v>
      </c>
      <c r="G75" s="13" t="n">
        <v>9.43</v>
      </c>
      <c r="H75" s="14" t="inlineStr">
        <is>
          <t>market</t>
        </is>
      </c>
      <c r="I75" s="15">
        <f>MAX($B$8,IF($B$9="",D75,MIN(D75,$B$9)))</f>
        <v/>
      </c>
      <c r="J75" s="15">
        <f>I75+$B$7/10000</f>
        <v/>
      </c>
    </row>
    <row r="76">
      <c r="A76" s="10" t="n">
        <v>48245</v>
      </c>
      <c r="B76" s="10" t="n">
        <v>48274</v>
      </c>
      <c r="C76" s="11" t="n">
        <v>29</v>
      </c>
      <c r="D76" s="12" t="n">
        <v>0.0451943</v>
      </c>
      <c r="E76" s="12" t="n">
        <v>0.045118</v>
      </c>
      <c r="F76" s="12" t="n">
        <v>0.0461644</v>
      </c>
      <c r="G76" s="13" t="n">
        <v>9.699999999999999</v>
      </c>
      <c r="H76" s="14" t="inlineStr">
        <is>
          <t>market</t>
        </is>
      </c>
      <c r="I76" s="15">
        <f>MAX($B$8,IF($B$9="",D76,MIN(D76,$B$9)))</f>
        <v/>
      </c>
      <c r="J76" s="15">
        <f>I76+$B$7/10000</f>
        <v/>
      </c>
    </row>
    <row r="77">
      <c r="A77" s="10" t="n">
        <v>48274</v>
      </c>
      <c r="B77" s="10" t="n">
        <v>48305</v>
      </c>
      <c r="C77" s="11" t="n">
        <v>31</v>
      </c>
      <c r="D77" s="12" t="n">
        <v>0.0452722</v>
      </c>
      <c r="E77" s="12" t="n">
        <v>0.04518970000000001</v>
      </c>
      <c r="F77" s="12" t="n">
        <v>0.0462717</v>
      </c>
      <c r="G77" s="13" t="n">
        <v>9.99</v>
      </c>
      <c r="H77" s="14" t="inlineStr">
        <is>
          <t>market</t>
        </is>
      </c>
      <c r="I77" s="15">
        <f>MAX($B$8,IF($B$9="",D77,MIN(D77,$B$9)))</f>
        <v/>
      </c>
      <c r="J77" s="15">
        <f>I77+$B$7/10000</f>
        <v/>
      </c>
    </row>
    <row r="78">
      <c r="A78" s="10" t="n">
        <v>48305</v>
      </c>
      <c r="B78" s="10" t="n">
        <v>48335</v>
      </c>
      <c r="C78" s="11" t="n">
        <v>30</v>
      </c>
      <c r="D78" s="12" t="n">
        <v>0.0453409</v>
      </c>
      <c r="E78" s="12" t="n">
        <v>0.0452606</v>
      </c>
      <c r="F78" s="12" t="n">
        <v>0.0463687</v>
      </c>
      <c r="G78" s="13" t="n">
        <v>10.28</v>
      </c>
      <c r="H78" s="14" t="inlineStr">
        <is>
          <t>market</t>
        </is>
      </c>
      <c r="I78" s="15">
        <f>MAX($B$8,IF($B$9="",D78,MIN(D78,$B$9)))</f>
        <v/>
      </c>
      <c r="J78" s="15">
        <f>I78+$B$7/10000</f>
        <v/>
      </c>
    </row>
    <row r="79">
      <c r="A79" s="10" t="n">
        <v>48335</v>
      </c>
      <c r="B79" s="10" t="n">
        <v>48366</v>
      </c>
      <c r="C79" s="11" t="n">
        <v>31</v>
      </c>
      <c r="D79" s="12" t="n">
        <v>0.0454091</v>
      </c>
      <c r="E79" s="12" t="n">
        <v>0.0453264</v>
      </c>
      <c r="F79" s="12" t="n">
        <v>0.0464641</v>
      </c>
      <c r="G79" s="13" t="n">
        <v>10.55</v>
      </c>
      <c r="H79" s="14" t="inlineStr">
        <is>
          <t>market</t>
        </is>
      </c>
      <c r="I79" s="15">
        <f>MAX($B$8,IF($B$9="",D79,MIN(D79,$B$9)))</f>
        <v/>
      </c>
      <c r="J79" s="15">
        <f>I79+$B$7/10000</f>
        <v/>
      </c>
    </row>
    <row r="80">
      <c r="A80" s="10" t="n">
        <v>48366</v>
      </c>
      <c r="B80" s="10" t="n">
        <v>48396</v>
      </c>
      <c r="C80" s="11" t="n">
        <v>30</v>
      </c>
      <c r="D80" s="12" t="n">
        <v>0.045481</v>
      </c>
      <c r="E80" s="12" t="n">
        <v>0.0454008</v>
      </c>
      <c r="F80" s="12" t="n">
        <v>0.046567</v>
      </c>
      <c r="G80" s="13" t="n">
        <v>10.86</v>
      </c>
      <c r="H80" s="14" t="inlineStr">
        <is>
          <t>market</t>
        </is>
      </c>
      <c r="I80" s="15">
        <f>MAX($B$8,IF($B$9="",D80,MIN(D80,$B$9)))</f>
        <v/>
      </c>
      <c r="J80" s="15">
        <f>I80+$B$7/10000</f>
        <v/>
      </c>
    </row>
    <row r="81">
      <c r="A81" s="10" t="n">
        <v>48396</v>
      </c>
      <c r="B81" s="10" t="n">
        <v>48427</v>
      </c>
      <c r="C81" s="11" t="n">
        <v>31</v>
      </c>
      <c r="D81" s="12" t="n">
        <v>0.0455551</v>
      </c>
      <c r="E81" s="12" t="n">
        <v>0.0454718</v>
      </c>
      <c r="F81" s="12" t="n">
        <v>0.0466707</v>
      </c>
      <c r="G81" s="13" t="n">
        <v>11.16</v>
      </c>
      <c r="H81" s="14" t="inlineStr">
        <is>
          <t>market</t>
        </is>
      </c>
      <c r="I81" s="15">
        <f>MAX($B$8,IF($B$9="",D81,MIN(D81,$B$9)))</f>
        <v/>
      </c>
      <c r="J81" s="15">
        <f>I81+$B$7/10000</f>
        <v/>
      </c>
    </row>
    <row r="82">
      <c r="A82" s="10" t="n">
        <v>48427</v>
      </c>
      <c r="B82" s="10" t="n">
        <v>48458</v>
      </c>
      <c r="C82" s="11" t="n">
        <v>31</v>
      </c>
      <c r="D82" s="12" t="n">
        <v>0.0456268</v>
      </c>
      <c r="E82" s="12" t="n">
        <v>0.0455425</v>
      </c>
      <c r="F82" s="12" t="n">
        <v>0.0467714</v>
      </c>
      <c r="G82" s="13" t="n">
        <v>11.45</v>
      </c>
      <c r="H82" s="14" t="inlineStr">
        <is>
          <t>market</t>
        </is>
      </c>
      <c r="I82" s="15">
        <f>MAX($B$8,IF($B$9="",D82,MIN(D82,$B$9)))</f>
        <v/>
      </c>
      <c r="J82" s="15">
        <f>I82+$B$7/10000</f>
        <v/>
      </c>
    </row>
    <row r="83">
      <c r="A83" s="10" t="n">
        <v>48458</v>
      </c>
      <c r="B83" s="10" t="n">
        <v>48488</v>
      </c>
      <c r="C83" s="11" t="n">
        <v>30</v>
      </c>
      <c r="D83" s="12" t="n">
        <v>0.0456985</v>
      </c>
      <c r="E83" s="12" t="n">
        <v>0.0456174</v>
      </c>
      <c r="F83" s="12" t="n">
        <v>0.0468739</v>
      </c>
      <c r="G83" s="13" t="n">
        <v>11.75</v>
      </c>
      <c r="H83" s="14" t="inlineStr">
        <is>
          <t>market</t>
        </is>
      </c>
      <c r="I83" s="15">
        <f>MAX($B$8,IF($B$9="",D83,MIN(D83,$B$9)))</f>
        <v/>
      </c>
      <c r="J83" s="15">
        <f>I83+$B$7/10000</f>
        <v/>
      </c>
    </row>
    <row r="84">
      <c r="A84" s="10" t="n">
        <v>48488</v>
      </c>
      <c r="B84" s="10" t="n">
        <v>48519</v>
      </c>
      <c r="C84" s="11" t="n">
        <v>31</v>
      </c>
      <c r="D84" s="12" t="n">
        <v>0.0457673</v>
      </c>
      <c r="E84" s="12" t="n">
        <v>0.0456836</v>
      </c>
      <c r="F84" s="12" t="n">
        <v>0.0469735</v>
      </c>
      <c r="G84" s="13" t="n">
        <v>12.06</v>
      </c>
      <c r="H84" s="14" t="inlineStr">
        <is>
          <t>market</t>
        </is>
      </c>
      <c r="I84" s="15">
        <f>MAX($B$8,IF($B$9="",D84,MIN(D84,$B$9)))</f>
        <v/>
      </c>
      <c r="J84" s="15">
        <f>I84+$B$7/10000</f>
        <v/>
      </c>
    </row>
    <row r="85">
      <c r="A85" s="10" t="n">
        <v>48519</v>
      </c>
      <c r="B85" s="10" t="n">
        <v>48549</v>
      </c>
      <c r="C85" s="11" t="n">
        <v>30</v>
      </c>
      <c r="D85" s="12" t="n">
        <v>0.0458213</v>
      </c>
      <c r="E85" s="12" t="n">
        <v>0.0457397</v>
      </c>
      <c r="F85" s="12" t="n">
        <v>0.0470584</v>
      </c>
      <c r="G85" s="13" t="n">
        <v>12.37</v>
      </c>
      <c r="H85" s="14" t="inlineStr">
        <is>
          <t>market</t>
        </is>
      </c>
      <c r="I85" s="15">
        <f>MAX($B$8,IF($B$9="",D85,MIN(D85,$B$9)))</f>
        <v/>
      </c>
      <c r="J85" s="15">
        <f>I85+$B$7/10000</f>
        <v/>
      </c>
    </row>
    <row r="86">
      <c r="A86" s="10" t="n">
        <v>48549</v>
      </c>
      <c r="B86" s="10" t="n">
        <v>48580</v>
      </c>
      <c r="C86" s="11" t="n">
        <v>31</v>
      </c>
      <c r="D86" s="12" t="n">
        <v>0.0458733</v>
      </c>
      <c r="E86" s="12" t="n">
        <v>0.0457887</v>
      </c>
      <c r="F86" s="12" t="n">
        <v>0.04714209999999999</v>
      </c>
      <c r="G86" s="13" t="n">
        <v>12.69</v>
      </c>
      <c r="H86" s="14" t="inlineStr">
        <is>
          <t>market</t>
        </is>
      </c>
      <c r="I86" s="15">
        <f>MAX($B$8,IF($B$9="",D86,MIN(D86,$B$9)))</f>
        <v/>
      </c>
      <c r="J86" s="15">
        <f>I86+$B$7/10000</f>
        <v/>
      </c>
    </row>
    <row r="87">
      <c r="A87" s="10" t="n">
        <v>48580</v>
      </c>
      <c r="B87" s="10" t="n">
        <v>48611</v>
      </c>
      <c r="C87" s="11" t="n">
        <v>31</v>
      </c>
      <c r="D87" s="12" t="n">
        <v>0.0459217</v>
      </c>
      <c r="E87" s="12" t="n">
        <v>0.0458371</v>
      </c>
      <c r="F87" s="12" t="n">
        <v>0.0472202</v>
      </c>
      <c r="G87" s="13" t="n">
        <v>12.98</v>
      </c>
      <c r="H87" s="14" t="inlineStr">
        <is>
          <t>market</t>
        </is>
      </c>
      <c r="I87" s="15">
        <f>MAX($B$8,IF($B$9="",D87,MIN(D87,$B$9)))</f>
        <v/>
      </c>
      <c r="J87" s="15">
        <f>I87+$B$7/10000</f>
        <v/>
      </c>
    </row>
    <row r="88">
      <c r="A88" s="10" t="n">
        <v>48611</v>
      </c>
      <c r="B88" s="10" t="n">
        <v>48639</v>
      </c>
      <c r="C88" s="11" t="n">
        <v>28</v>
      </c>
      <c r="D88" s="12" t="n">
        <v>0.045978</v>
      </c>
      <c r="E88" s="12" t="n">
        <v>0.04590200000000001</v>
      </c>
      <c r="F88" s="12" t="n">
        <v>0.0473097</v>
      </c>
      <c r="G88" s="13" t="n">
        <v>13.32</v>
      </c>
      <c r="H88" s="14" t="inlineStr">
        <is>
          <t>market</t>
        </is>
      </c>
      <c r="I88" s="15">
        <f>MAX($B$8,IF($B$9="",D88,MIN(D88,$B$9)))</f>
        <v/>
      </c>
      <c r="J88" s="15">
        <f>I88+$B$7/10000</f>
        <v/>
      </c>
    </row>
    <row r="89">
      <c r="A89" s="10" t="n">
        <v>48639</v>
      </c>
      <c r="B89" s="10" t="n">
        <v>48670</v>
      </c>
      <c r="C89" s="11" t="n">
        <v>31</v>
      </c>
      <c r="D89" s="12" t="n">
        <v>0.0460576</v>
      </c>
      <c r="E89" s="12" t="n">
        <v>0.0459718</v>
      </c>
      <c r="F89" s="12" t="n">
        <v>0.0474216</v>
      </c>
      <c r="G89" s="13" t="n">
        <v>13.64</v>
      </c>
      <c r="H89" s="14" t="inlineStr">
        <is>
          <t>market</t>
        </is>
      </c>
      <c r="I89" s="15">
        <f>MAX($B$8,IF($B$9="",D89,MIN(D89,$B$9)))</f>
        <v/>
      </c>
      <c r="J89" s="15">
        <f>I89+$B$7/10000</f>
        <v/>
      </c>
    </row>
    <row r="90">
      <c r="A90" s="10" t="n">
        <v>48670</v>
      </c>
      <c r="B90" s="10" t="n">
        <v>48700</v>
      </c>
      <c r="C90" s="11" t="n">
        <v>30</v>
      </c>
      <c r="D90" s="12" t="n">
        <v>0.04612160000000001</v>
      </c>
      <c r="E90" s="12" t="n">
        <v>0.0460392</v>
      </c>
      <c r="F90" s="12" t="n">
        <v>0.047517</v>
      </c>
      <c r="G90" s="13" t="n">
        <v>13.95</v>
      </c>
      <c r="H90" s="14" t="inlineStr">
        <is>
          <t>market</t>
        </is>
      </c>
      <c r="I90" s="15">
        <f>MAX($B$8,IF($B$9="",D90,MIN(D90,$B$9)))</f>
        <v/>
      </c>
      <c r="J90" s="15">
        <f>I90+$B$7/10000</f>
        <v/>
      </c>
    </row>
    <row r="91">
      <c r="A91" s="10" t="n">
        <v>48700</v>
      </c>
      <c r="B91" s="10" t="n">
        <v>48731</v>
      </c>
      <c r="C91" s="11" t="n">
        <v>31</v>
      </c>
      <c r="D91" s="12" t="n">
        <v>0.04617810000000001</v>
      </c>
      <c r="E91" s="12" t="n">
        <v>0.0460924</v>
      </c>
      <c r="F91" s="12" t="n">
        <v>0.0476046</v>
      </c>
      <c r="G91" s="13" t="n">
        <v>14.26</v>
      </c>
      <c r="H91" s="14" t="inlineStr">
        <is>
          <t>market</t>
        </is>
      </c>
      <c r="I91" s="15">
        <f>MAX($B$8,IF($B$9="",D91,MIN(D91,$B$9)))</f>
        <v/>
      </c>
      <c r="J91" s="15">
        <f>I91+$B$7/10000</f>
        <v/>
      </c>
    </row>
    <row r="92">
      <c r="A92" s="10" t="n">
        <v>48731</v>
      </c>
      <c r="B92" s="10" t="n">
        <v>48761</v>
      </c>
      <c r="C92" s="11" t="n">
        <v>30</v>
      </c>
      <c r="D92" s="12" t="n">
        <v>0.0462177</v>
      </c>
      <c r="E92" s="12" t="n">
        <v>0.0461349</v>
      </c>
      <c r="F92" s="12" t="n">
        <v>0.04767730000000001</v>
      </c>
      <c r="G92" s="13" t="n">
        <v>14.6</v>
      </c>
      <c r="H92" s="14" t="inlineStr">
        <is>
          <t>market</t>
        </is>
      </c>
      <c r="I92" s="15">
        <f>MAX($B$8,IF($B$9="",D92,MIN(D92,$B$9)))</f>
        <v/>
      </c>
      <c r="J92" s="15">
        <f>I92+$B$7/10000</f>
        <v/>
      </c>
    </row>
    <row r="93">
      <c r="A93" s="10" t="n">
        <v>48761</v>
      </c>
      <c r="B93" s="10" t="n">
        <v>48792</v>
      </c>
      <c r="C93" s="11" t="n">
        <v>31</v>
      </c>
      <c r="D93" s="12" t="n">
        <v>0.046254</v>
      </c>
      <c r="E93" s="12" t="n">
        <v>0.0461685</v>
      </c>
      <c r="F93" s="12" t="n">
        <v>0.0477465</v>
      </c>
      <c r="G93" s="13" t="n">
        <v>14.93</v>
      </c>
      <c r="H93" s="14" t="inlineStr">
        <is>
          <t>market</t>
        </is>
      </c>
      <c r="I93" s="15">
        <f>MAX($B$8,IF($B$9="",D93,MIN(D93,$B$9)))</f>
        <v/>
      </c>
      <c r="J93" s="15">
        <f>I93+$B$7/10000</f>
        <v/>
      </c>
    </row>
    <row r="94">
      <c r="A94" s="10" t="n">
        <v>48792</v>
      </c>
      <c r="B94" s="10" t="n">
        <v>48823</v>
      </c>
      <c r="C94" s="11" t="n">
        <v>31</v>
      </c>
      <c r="D94" s="12" t="n">
        <v>0.0462915</v>
      </c>
      <c r="E94" s="12" t="n">
        <v>0.0462047</v>
      </c>
      <c r="F94" s="12" t="n">
        <v>0.0478177</v>
      </c>
      <c r="G94" s="13" t="n">
        <v>15.26</v>
      </c>
      <c r="H94" s="14" t="inlineStr">
        <is>
          <t>market</t>
        </is>
      </c>
      <c r="I94" s="15">
        <f>MAX($B$8,IF($B$9="",D94,MIN(D94,$B$9)))</f>
        <v/>
      </c>
      <c r="J94" s="15">
        <f>I94+$B$7/10000</f>
        <v/>
      </c>
    </row>
    <row r="95">
      <c r="A95" s="10" t="n">
        <v>48823</v>
      </c>
      <c r="B95" s="10" t="n">
        <v>48853</v>
      </c>
      <c r="C95" s="11" t="n">
        <v>30</v>
      </c>
      <c r="D95" s="12" t="n">
        <v>0.04633370000000001</v>
      </c>
      <c r="E95" s="12" t="n">
        <v>0.0462505</v>
      </c>
      <c r="F95" s="12" t="n">
        <v>0.0478942</v>
      </c>
      <c r="G95" s="13" t="n">
        <v>15.6</v>
      </c>
      <c r="H95" s="14" t="inlineStr">
        <is>
          <t>market</t>
        </is>
      </c>
      <c r="I95" s="15">
        <f>MAX($B$8,IF($B$9="",D95,MIN(D95,$B$9)))</f>
        <v/>
      </c>
      <c r="J95" s="15">
        <f>I95+$B$7/10000</f>
        <v/>
      </c>
    </row>
    <row r="96">
      <c r="A96" s="10" t="n">
        <v>48853</v>
      </c>
      <c r="B96" s="10" t="n">
        <v>48884</v>
      </c>
      <c r="C96" s="11" t="n">
        <v>31</v>
      </c>
      <c r="D96" s="12" t="n">
        <v>0.0463928</v>
      </c>
      <c r="E96" s="12" t="n">
        <v>0.0463064</v>
      </c>
      <c r="F96" s="12" t="n">
        <v>0.0479864</v>
      </c>
      <c r="G96" s="13" t="n">
        <v>15.94</v>
      </c>
      <c r="H96" s="14" t="inlineStr">
        <is>
          <t>market</t>
        </is>
      </c>
      <c r="I96" s="15">
        <f>MAX($B$8,IF($B$9="",D96,MIN(D96,$B$9)))</f>
        <v/>
      </c>
      <c r="J96" s="15">
        <f>I96+$B$7/10000</f>
        <v/>
      </c>
    </row>
    <row r="97">
      <c r="A97" s="10" t="n">
        <v>48884</v>
      </c>
      <c r="B97" s="10" t="n">
        <v>48914</v>
      </c>
      <c r="C97" s="11" t="n">
        <v>30</v>
      </c>
      <c r="D97" s="12" t="n">
        <v>0.0464663</v>
      </c>
      <c r="E97" s="12" t="n">
        <v>0.04638270000000001</v>
      </c>
      <c r="F97" s="12" t="n">
        <v>0.0480977</v>
      </c>
      <c r="G97" s="13" t="n">
        <v>16.31</v>
      </c>
      <c r="H97" s="14" t="inlineStr">
        <is>
          <t>market</t>
        </is>
      </c>
      <c r="I97" s="15">
        <f>MAX($B$8,IF($B$9="",D97,MIN(D97,$B$9)))</f>
        <v/>
      </c>
      <c r="J97" s="15">
        <f>I97+$B$7/10000</f>
        <v/>
      </c>
    </row>
    <row r="98">
      <c r="A98" s="10" t="n">
        <v>48914</v>
      </c>
      <c r="B98" s="10" t="n">
        <v>48945</v>
      </c>
      <c r="C98" s="11" t="n">
        <v>31</v>
      </c>
      <c r="D98" s="12" t="n">
        <v>0.046543</v>
      </c>
      <c r="E98" s="12" t="n">
        <v>0.046456</v>
      </c>
      <c r="F98" s="12" t="n">
        <v>0.0482105</v>
      </c>
      <c r="G98" s="13" t="n">
        <v>16.67</v>
      </c>
      <c r="H98" s="14" t="inlineStr">
        <is>
          <t>market</t>
        </is>
      </c>
      <c r="I98" s="15">
        <f>MAX($B$8,IF($B$9="",D98,MIN(D98,$B$9)))</f>
        <v/>
      </c>
      <c r="J98" s="15">
        <f>I98+$B$7/10000</f>
        <v/>
      </c>
    </row>
    <row r="99">
      <c r="A99" s="10" t="n">
        <v>48945</v>
      </c>
      <c r="B99" s="10" t="n">
        <v>48976</v>
      </c>
      <c r="C99" s="11" t="n">
        <v>31</v>
      </c>
      <c r="D99" s="12" t="n">
        <v>0.0465918</v>
      </c>
      <c r="E99" s="12" t="n">
        <v>0.0465047</v>
      </c>
      <c r="F99" s="12" t="n">
        <v>0.0482923</v>
      </c>
      <c r="G99" s="13" t="n">
        <v>17</v>
      </c>
      <c r="H99" s="14" t="inlineStr">
        <is>
          <t>market</t>
        </is>
      </c>
      <c r="I99" s="15">
        <f>MAX($B$8,IF($B$9="",D99,MIN(D99,$B$9)))</f>
        <v/>
      </c>
      <c r="J99" s="15">
        <f>I99+$B$7/10000</f>
        <v/>
      </c>
    </row>
    <row r="100">
      <c r="A100" s="10" t="n">
        <v>48976</v>
      </c>
      <c r="B100" s="10" t="n">
        <v>49004</v>
      </c>
      <c r="C100" s="11" t="n">
        <v>28</v>
      </c>
      <c r="D100" s="12" t="n">
        <v>0.0465999</v>
      </c>
      <c r="E100" s="12" t="n">
        <v>0.0465219</v>
      </c>
      <c r="F100" s="12" t="n">
        <v>0.04833630000000001</v>
      </c>
      <c r="G100" s="13" t="n">
        <v>17.36</v>
      </c>
      <c r="H100" s="14" t="inlineStr">
        <is>
          <t>market</t>
        </is>
      </c>
      <c r="I100" s="15">
        <f>MAX($B$8,IF($B$9="",D100,MIN(D100,$B$9)))</f>
        <v/>
      </c>
      <c r="J100" s="15">
        <f>I100+$B$7/10000</f>
        <v/>
      </c>
    </row>
    <row r="101">
      <c r="A101" s="10" t="n">
        <v>49004</v>
      </c>
      <c r="B101" s="10" t="n">
        <v>49035</v>
      </c>
      <c r="C101" s="11" t="n">
        <v>31</v>
      </c>
      <c r="D101" s="12" t="n">
        <v>0.0465968</v>
      </c>
      <c r="E101" s="12" t="n">
        <v>0.04650890000000001</v>
      </c>
      <c r="F101" s="12" t="n">
        <v>0.0483675</v>
      </c>
      <c r="G101" s="13" t="n">
        <v>17.71</v>
      </c>
      <c r="H101" s="14" t="inlineStr">
        <is>
          <t>market</t>
        </is>
      </c>
      <c r="I101" s="15">
        <f>MAX($B$8,IF($B$9="",D101,MIN(D101,$B$9)))</f>
        <v/>
      </c>
      <c r="J101" s="15">
        <f>I101+$B$7/10000</f>
        <v/>
      </c>
    </row>
    <row r="102">
      <c r="A102" s="10" t="n">
        <v>49035</v>
      </c>
      <c r="B102" s="10" t="n">
        <v>49065</v>
      </c>
      <c r="C102" s="11" t="n">
        <v>30</v>
      </c>
      <c r="D102" s="12" t="n">
        <v>0.0465912</v>
      </c>
      <c r="E102" s="12" t="n">
        <v>0.0465072</v>
      </c>
      <c r="F102" s="12" t="n">
        <v>0.0483933</v>
      </c>
      <c r="G102" s="13" t="n">
        <v>18.02</v>
      </c>
      <c r="H102" s="14" t="inlineStr">
        <is>
          <t>market</t>
        </is>
      </c>
      <c r="I102" s="15">
        <f>MAX($B$8,IF($B$9="",D102,MIN(D102,$B$9)))</f>
        <v/>
      </c>
      <c r="J102" s="15">
        <f>I102+$B$7/10000</f>
        <v/>
      </c>
    </row>
    <row r="103">
      <c r="A103" s="10" t="n">
        <v>49065</v>
      </c>
      <c r="B103" s="10" t="n">
        <v>49096</v>
      </c>
      <c r="C103" s="11" t="n">
        <v>31</v>
      </c>
      <c r="D103" s="12" t="n">
        <v>0.0466333</v>
      </c>
      <c r="E103" s="12" t="n">
        <v>0.0465459</v>
      </c>
      <c r="F103" s="12" t="n">
        <v>0.0484734</v>
      </c>
      <c r="G103" s="13" t="n">
        <v>18.4</v>
      </c>
      <c r="H103" s="14" t="inlineStr">
        <is>
          <t>market</t>
        </is>
      </c>
      <c r="I103" s="15">
        <f>MAX($B$8,IF($B$9="",D103,MIN(D103,$B$9)))</f>
        <v/>
      </c>
      <c r="J103" s="15">
        <f>I103+$B$7/10000</f>
        <v/>
      </c>
    </row>
    <row r="104">
      <c r="A104" s="10" t="n">
        <v>49096</v>
      </c>
      <c r="B104" s="10" t="n">
        <v>49126</v>
      </c>
      <c r="C104" s="11" t="n">
        <v>30</v>
      </c>
      <c r="D104" s="12" t="n">
        <v>0.0467066</v>
      </c>
      <c r="E104" s="12" t="n">
        <v>0.046622</v>
      </c>
      <c r="F104" s="12" t="n">
        <v>0.0485832</v>
      </c>
      <c r="G104" s="13" t="n">
        <v>18.77</v>
      </c>
      <c r="H104" s="14" t="inlineStr">
        <is>
          <t>market</t>
        </is>
      </c>
      <c r="I104" s="15">
        <f>MAX($B$8,IF($B$9="",D104,MIN(D104,$B$9)))</f>
        <v/>
      </c>
      <c r="J104" s="15">
        <f>I104+$B$7/10000</f>
        <v/>
      </c>
    </row>
    <row r="105">
      <c r="A105" s="10" t="n">
        <v>49126</v>
      </c>
      <c r="B105" s="10" t="n">
        <v>49157</v>
      </c>
      <c r="C105" s="11" t="n">
        <v>31</v>
      </c>
      <c r="D105" s="12" t="n">
        <v>0.0467791</v>
      </c>
      <c r="E105" s="12" t="n">
        <v>0.0466909</v>
      </c>
      <c r="F105" s="12" t="n">
        <v>0.0486912</v>
      </c>
      <c r="G105" s="13" t="n">
        <v>19.12</v>
      </c>
      <c r="H105" s="14" t="inlineStr">
        <is>
          <t>market</t>
        </is>
      </c>
      <c r="I105" s="15">
        <f>MAX($B$8,IF($B$9="",D105,MIN(D105,$B$9)))</f>
        <v/>
      </c>
      <c r="J105" s="15">
        <f>I105+$B$7/10000</f>
        <v/>
      </c>
    </row>
    <row r="106">
      <c r="A106" s="10" t="n">
        <v>49157</v>
      </c>
      <c r="B106" s="10" t="n">
        <v>49188</v>
      </c>
      <c r="C106" s="11" t="n">
        <v>31</v>
      </c>
      <c r="D106" s="12" t="n">
        <v>0.04681129999999999</v>
      </c>
      <c r="E106" s="12" t="n">
        <v>0.0467226</v>
      </c>
      <c r="F106" s="12" t="n">
        <v>0.0487636</v>
      </c>
      <c r="G106" s="13" t="n">
        <v>19.52</v>
      </c>
      <c r="H106" s="14" t="inlineStr">
        <is>
          <t>market</t>
        </is>
      </c>
      <c r="I106" s="15">
        <f>MAX($B$8,IF($B$9="",D106,MIN(D106,$B$9)))</f>
        <v/>
      </c>
      <c r="J106" s="15">
        <f>I106+$B$7/10000</f>
        <v/>
      </c>
    </row>
    <row r="107">
      <c r="A107" s="10" t="n">
        <v>49188</v>
      </c>
      <c r="B107" s="10" t="n">
        <v>49218</v>
      </c>
      <c r="C107" s="11" t="n">
        <v>30</v>
      </c>
      <c r="D107" s="12" t="n">
        <v>0.04678930000000001</v>
      </c>
      <c r="E107" s="12" t="n">
        <v>0.04670460000000001</v>
      </c>
      <c r="F107" s="12" t="n">
        <v>0.0487785</v>
      </c>
      <c r="G107" s="13" t="n">
        <v>19.89</v>
      </c>
      <c r="H107" s="14" t="inlineStr">
        <is>
          <t>market</t>
        </is>
      </c>
      <c r="I107" s="15">
        <f>MAX($B$8,IF($B$9="",D107,MIN(D107,$B$9)))</f>
        <v/>
      </c>
      <c r="J107" s="15">
        <f>I107+$B$7/10000</f>
        <v/>
      </c>
    </row>
    <row r="108">
      <c r="A108" s="10" t="n">
        <v>49218</v>
      </c>
      <c r="B108" s="10" t="n">
        <v>49249</v>
      </c>
      <c r="C108" s="11" t="n">
        <v>31</v>
      </c>
      <c r="D108" s="12" t="n">
        <v>0.0467807</v>
      </c>
      <c r="E108" s="12" t="n">
        <v>0.0466927</v>
      </c>
      <c r="F108" s="12" t="n">
        <v>0.0488061</v>
      </c>
      <c r="G108" s="13" t="n">
        <v>20.25</v>
      </c>
      <c r="H108" s="14" t="inlineStr">
        <is>
          <t>market</t>
        </is>
      </c>
      <c r="I108" s="15">
        <f>MAX($B$8,IF($B$9="",D108,MIN(D108,$B$9)))</f>
        <v/>
      </c>
      <c r="J108" s="15">
        <f>I108+$B$7/10000</f>
        <v/>
      </c>
    </row>
    <row r="109">
      <c r="A109" s="10" t="n">
        <v>49249</v>
      </c>
      <c r="B109" s="10" t="n">
        <v>49279</v>
      </c>
      <c r="C109" s="11" t="n">
        <v>30</v>
      </c>
      <c r="D109" s="12" t="n">
        <v>0.0468294</v>
      </c>
      <c r="E109" s="12" t="n">
        <v>0.0467439</v>
      </c>
      <c r="F109" s="12" t="n">
        <v>0.0488933</v>
      </c>
      <c r="G109" s="13" t="n">
        <v>20.64</v>
      </c>
      <c r="H109" s="14" t="inlineStr">
        <is>
          <t>market</t>
        </is>
      </c>
      <c r="I109" s="15">
        <f>MAX($B$8,IF($B$9="",D109,MIN(D109,$B$9)))</f>
        <v/>
      </c>
      <c r="J109" s="15">
        <f>I109+$B$7/10000</f>
        <v/>
      </c>
    </row>
    <row r="110">
      <c r="A110" s="10" t="n">
        <v>49279</v>
      </c>
      <c r="B110" s="10" t="n">
        <v>49310</v>
      </c>
      <c r="C110" s="11" t="n">
        <v>31</v>
      </c>
      <c r="D110" s="12" t="n">
        <v>0.0469498</v>
      </c>
      <c r="E110" s="12" t="n">
        <v>0.0468618</v>
      </c>
      <c r="F110" s="12" t="n">
        <v>0.0490517</v>
      </c>
      <c r="G110" s="13" t="n">
        <v>21.02</v>
      </c>
      <c r="H110" s="14" t="inlineStr">
        <is>
          <t>market</t>
        </is>
      </c>
      <c r="I110" s="15">
        <f>MAX($B$8,IF($B$9="",D110,MIN(D110,$B$9)))</f>
        <v/>
      </c>
      <c r="J110" s="15">
        <f>I110+$B$7/10000</f>
        <v/>
      </c>
    </row>
    <row r="111">
      <c r="A111" s="10" t="n">
        <v>49310</v>
      </c>
      <c r="B111" s="10" t="n">
        <v>49341</v>
      </c>
      <c r="C111" s="11" t="n">
        <v>31</v>
      </c>
      <c r="D111" s="12" t="n">
        <v>0.0470767</v>
      </c>
      <c r="E111" s="12" t="n">
        <v>0.0469875</v>
      </c>
      <c r="F111" s="12" t="n">
        <v>0.0492155</v>
      </c>
      <c r="G111" s="13" t="n">
        <v>21.39</v>
      </c>
      <c r="H111" s="14" t="inlineStr">
        <is>
          <t>market</t>
        </is>
      </c>
      <c r="I111" s="15">
        <f>MAX($B$8,IF($B$9="",D111,MIN(D111,$B$9)))</f>
        <v/>
      </c>
      <c r="J111" s="15">
        <f>I111+$B$7/10000</f>
        <v/>
      </c>
    </row>
    <row r="112">
      <c r="A112" s="10" t="n">
        <v>49341</v>
      </c>
      <c r="B112" s="10" t="n">
        <v>49369</v>
      </c>
      <c r="C112" s="11" t="n">
        <v>28</v>
      </c>
      <c r="D112" s="12" t="n">
        <v>0.0471469</v>
      </c>
      <c r="E112" s="12" t="n">
        <v>0.047067</v>
      </c>
      <c r="F112" s="12" t="n">
        <v>0.04932400000000001</v>
      </c>
      <c r="G112" s="13" t="n">
        <v>21.77</v>
      </c>
      <c r="H112" s="14" t="inlineStr">
        <is>
          <t>market</t>
        </is>
      </c>
      <c r="I112" s="15">
        <f>MAX($B$8,IF($B$9="",D112,MIN(D112,$B$9)))</f>
        <v/>
      </c>
      <c r="J112" s="15">
        <f>I112+$B$7/10000</f>
        <v/>
      </c>
    </row>
    <row r="113">
      <c r="A113" s="10" t="n">
        <v>49369</v>
      </c>
      <c r="B113" s="10" t="n">
        <v>49400</v>
      </c>
      <c r="C113" s="11" t="n">
        <v>31</v>
      </c>
      <c r="D113" s="12" t="n">
        <v>0.0471624</v>
      </c>
      <c r="E113" s="12" t="n">
        <v>0.0470731</v>
      </c>
      <c r="F113" s="12" t="n">
        <v>0.0493783</v>
      </c>
      <c r="G113" s="13" t="n">
        <v>22.16</v>
      </c>
      <c r="H113" s="14" t="inlineStr">
        <is>
          <t>market</t>
        </is>
      </c>
      <c r="I113" s="15">
        <f>MAX($B$8,IF($B$9="",D113,MIN(D113,$B$9)))</f>
        <v/>
      </c>
      <c r="J113" s="15">
        <f>I113+$B$7/10000</f>
        <v/>
      </c>
    </row>
    <row r="114">
      <c r="A114" s="10" t="n">
        <v>49400</v>
      </c>
      <c r="B114" s="10" t="n">
        <v>49430</v>
      </c>
      <c r="C114" s="11" t="n">
        <v>30</v>
      </c>
      <c r="D114" s="12" t="n">
        <v>0.0471322</v>
      </c>
      <c r="E114" s="12" t="n">
        <v>0.04704539999999999</v>
      </c>
      <c r="F114" s="12" t="n">
        <v>0.0493849</v>
      </c>
      <c r="G114" s="13" t="n">
        <v>22.53</v>
      </c>
      <c r="H114" s="14" t="inlineStr">
        <is>
          <t>market</t>
        </is>
      </c>
      <c r="I114" s="15">
        <f>MAX($B$8,IF($B$9="",D114,MIN(D114,$B$9)))</f>
        <v/>
      </c>
      <c r="J114" s="15">
        <f>I114+$B$7/10000</f>
        <v/>
      </c>
    </row>
    <row r="115">
      <c r="A115" s="10" t="n">
        <v>49430</v>
      </c>
      <c r="B115" s="10" t="n">
        <v>49461</v>
      </c>
      <c r="C115" s="11" t="n">
        <v>31</v>
      </c>
      <c r="D115" s="12" t="n">
        <v>0.0471251</v>
      </c>
      <c r="E115" s="12" t="n">
        <v>0.0470358</v>
      </c>
      <c r="F115" s="12" t="n">
        <v>0.0494185</v>
      </c>
      <c r="G115" s="13" t="n">
        <v>22.93</v>
      </c>
      <c r="H115" s="14" t="inlineStr">
        <is>
          <t>market</t>
        </is>
      </c>
      <c r="I115" s="15">
        <f>MAX($B$8,IF($B$9="",D115,MIN(D115,$B$9)))</f>
        <v/>
      </c>
      <c r="J115" s="15">
        <f>I115+$B$7/10000</f>
        <v/>
      </c>
    </row>
    <row r="116">
      <c r="A116" s="10" t="n">
        <v>49461</v>
      </c>
      <c r="B116" s="10" t="n">
        <v>49491</v>
      </c>
      <c r="C116" s="11" t="n">
        <v>30</v>
      </c>
      <c r="D116" s="12" t="n">
        <v>0.04715340000000001</v>
      </c>
      <c r="E116" s="12" t="n">
        <v>0.0470669</v>
      </c>
      <c r="F116" s="12" t="n">
        <v>0.0494863</v>
      </c>
      <c r="G116" s="13" t="n">
        <v>23.33</v>
      </c>
      <c r="H116" s="14" t="inlineStr">
        <is>
          <t>market</t>
        </is>
      </c>
      <c r="I116" s="15">
        <f>MAX($B$8,IF($B$9="",D116,MIN(D116,$B$9)))</f>
        <v/>
      </c>
      <c r="J116" s="15">
        <f>I116+$B$7/10000</f>
        <v/>
      </c>
    </row>
    <row r="117">
      <c r="A117" s="10" t="n">
        <v>49491</v>
      </c>
      <c r="B117" s="10" t="n">
        <v>49522</v>
      </c>
      <c r="C117" s="11" t="n">
        <v>31</v>
      </c>
      <c r="D117" s="12" t="n">
        <v>0.0472082</v>
      </c>
      <c r="E117" s="12" t="n">
        <v>0.04711820000000001</v>
      </c>
      <c r="F117" s="12" t="n">
        <v>0.0495805</v>
      </c>
      <c r="G117" s="13" t="n">
        <v>23.72</v>
      </c>
      <c r="H117" s="14" t="inlineStr">
        <is>
          <t>market</t>
        </is>
      </c>
      <c r="I117" s="15">
        <f>MAX($B$8,IF($B$9="",D117,MIN(D117,$B$9)))</f>
        <v/>
      </c>
      <c r="J117" s="15">
        <f>I117+$B$7/10000</f>
        <v/>
      </c>
    </row>
    <row r="118">
      <c r="A118" s="10" t="n">
        <v>49522</v>
      </c>
      <c r="B118" s="10" t="n">
        <v>49553</v>
      </c>
      <c r="C118" s="11" t="n">
        <v>31</v>
      </c>
      <c r="D118" s="12" t="n">
        <v>0.0472549</v>
      </c>
      <c r="E118" s="12" t="n">
        <v>0.0471645</v>
      </c>
      <c r="F118" s="12" t="n">
        <v>0.04966859999999999</v>
      </c>
      <c r="G118" s="13" t="n">
        <v>24.14</v>
      </c>
      <c r="H118" s="14" t="inlineStr">
        <is>
          <t>market</t>
        </is>
      </c>
      <c r="I118" s="15">
        <f>MAX($B$8,IF($B$9="",D118,MIN(D118,$B$9)))</f>
        <v/>
      </c>
      <c r="J118" s="15">
        <f>I118+$B$7/10000</f>
        <v/>
      </c>
    </row>
    <row r="119">
      <c r="A119" s="10" t="n">
        <v>49553</v>
      </c>
      <c r="B119" s="10" t="n">
        <v>49583</v>
      </c>
      <c r="C119" s="11" t="n">
        <v>30</v>
      </c>
      <c r="D119" s="12" t="n">
        <v>0.0472803</v>
      </c>
      <c r="E119" s="12" t="n">
        <v>0.0471936</v>
      </c>
      <c r="F119" s="12" t="n">
        <v>0.04972940000000001</v>
      </c>
      <c r="G119" s="13" t="n">
        <v>24.49</v>
      </c>
      <c r="H119" s="14" t="inlineStr">
        <is>
          <t>market</t>
        </is>
      </c>
      <c r="I119" s="15">
        <f>MAX($B$8,IF($B$9="",D119,MIN(D119,$B$9)))</f>
        <v/>
      </c>
      <c r="J119" s="15">
        <f>I119+$B$7/10000</f>
        <v/>
      </c>
    </row>
    <row r="120">
      <c r="A120" s="10" t="n">
        <v>49583</v>
      </c>
      <c r="B120" s="10" t="n">
        <v>49614</v>
      </c>
      <c r="C120" s="11" t="n">
        <v>31</v>
      </c>
      <c r="D120" s="12" t="n">
        <v>0.0473331</v>
      </c>
      <c r="E120" s="12" t="n">
        <v>0.04724300000000001</v>
      </c>
      <c r="F120" s="12" t="n">
        <v>0.0498265</v>
      </c>
      <c r="G120" s="13" t="n">
        <v>24.93</v>
      </c>
      <c r="H120" s="14" t="inlineStr">
        <is>
          <t>market</t>
        </is>
      </c>
      <c r="I120" s="15">
        <f>MAX($B$8,IF($B$9="",D120,MIN(D120,$B$9)))</f>
        <v/>
      </c>
      <c r="J120" s="15">
        <f>I120+$B$7/10000</f>
        <v/>
      </c>
    </row>
    <row r="121">
      <c r="A121" s="10" t="n">
        <v>49614</v>
      </c>
      <c r="B121" s="10" t="n">
        <v>49644</v>
      </c>
      <c r="C121" s="11" t="n">
        <v>30</v>
      </c>
      <c r="D121" s="12" t="n">
        <v>0.0474169</v>
      </c>
      <c r="E121" s="12" t="n">
        <v>0.0473299</v>
      </c>
      <c r="F121" s="12" t="n">
        <v>0.0499503</v>
      </c>
      <c r="G121" s="13" t="n">
        <v>25.33</v>
      </c>
      <c r="H121" s="14" t="inlineStr">
        <is>
          <t>market</t>
        </is>
      </c>
      <c r="I121" s="15">
        <f>MAX($B$8,IF($B$9="",D121,MIN(D121,$B$9)))</f>
        <v/>
      </c>
      <c r="J121" s="15">
        <f>I121+$B$7/10000</f>
        <v/>
      </c>
    </row>
    <row r="122">
      <c r="A122" s="10" t="n">
        <v>49644</v>
      </c>
      <c r="B122" s="10" t="n">
        <v>49675</v>
      </c>
      <c r="C122" s="11" t="n">
        <v>31</v>
      </c>
      <c r="D122" s="12" t="n">
        <v>0.0475353</v>
      </c>
      <c r="E122" s="12" t="n">
        <v>0.0474442</v>
      </c>
      <c r="F122" s="12" t="n">
        <v>0.05010729999999999</v>
      </c>
      <c r="G122" s="13" t="n">
        <v>25.72</v>
      </c>
      <c r="H122" s="14" t="inlineStr">
        <is>
          <t>market</t>
        </is>
      </c>
      <c r="I122" s="15">
        <f>MAX($B$8,IF($B$9="",D122,MIN(D122,$B$9)))</f>
        <v/>
      </c>
      <c r="J122" s="15">
        <f>I122+$B$7/10000</f>
        <v/>
      </c>
    </row>
    <row r="123">
      <c r="A123" s="10" t="n">
        <v>49675</v>
      </c>
      <c r="B123" s="10" t="n">
        <v>49706</v>
      </c>
      <c r="C123" s="11" t="n">
        <v>31</v>
      </c>
      <c r="D123" s="12" t="n">
        <v>0.0476584</v>
      </c>
      <c r="E123" s="12" t="n">
        <v>0.04756700000000001</v>
      </c>
      <c r="F123" s="12" t="n">
        <v>0.05027300000000001</v>
      </c>
      <c r="G123" s="13" t="n">
        <v>26.15</v>
      </c>
      <c r="H123" s="14" t="inlineStr">
        <is>
          <t>market</t>
        </is>
      </c>
      <c r="I123" s="15">
        <f>MAX($B$8,IF($B$9="",D123,MIN(D123,$B$9)))</f>
        <v/>
      </c>
      <c r="J123" s="15">
        <f>I123+$B$7/10000</f>
        <v/>
      </c>
    </row>
    <row r="124">
      <c r="A124" s="10" t="n">
        <v>49706</v>
      </c>
      <c r="B124" s="10" t="n">
        <v>49735</v>
      </c>
      <c r="C124" s="11" t="n">
        <v>29</v>
      </c>
      <c r="D124" s="12" t="n">
        <v>0.047729</v>
      </c>
      <c r="E124" s="12" t="n">
        <v>0.0476439</v>
      </c>
      <c r="F124" s="12" t="n">
        <v>0.0503854</v>
      </c>
      <c r="G124" s="13" t="n">
        <v>26.56</v>
      </c>
      <c r="H124" s="14" t="inlineStr">
        <is>
          <t>market</t>
        </is>
      </c>
      <c r="I124" s="15">
        <f>MAX($B$8,IF($B$9="",D124,MIN(D124,$B$9)))</f>
        <v/>
      </c>
      <c r="J124" s="15">
        <f>I124+$B$7/10000</f>
        <v/>
      </c>
    </row>
    <row r="125">
      <c r="A125" s="10" t="n">
        <v>49735</v>
      </c>
      <c r="B125" s="10" t="n">
        <v>49766</v>
      </c>
      <c r="C125" s="11" t="n">
        <v>31</v>
      </c>
      <c r="D125" s="12" t="n">
        <v>0.0477481</v>
      </c>
      <c r="E125" s="12" t="n">
        <v>0.047656</v>
      </c>
      <c r="F125" s="12" t="n">
        <v>0.0504437</v>
      </c>
      <c r="G125" s="13" t="n">
        <v>26.96</v>
      </c>
      <c r="H125" s="14" t="inlineStr">
        <is>
          <t>market</t>
        </is>
      </c>
      <c r="I125" s="15">
        <f>MAX($B$8,IF($B$9="",D125,MIN(D125,$B$9)))</f>
        <v/>
      </c>
      <c r="J125" s="15">
        <f>I125+$B$7/10000</f>
        <v/>
      </c>
    </row>
    <row r="126">
      <c r="A126" s="10" t="n">
        <v>49766</v>
      </c>
      <c r="B126" s="10" t="n">
        <v>49796</v>
      </c>
      <c r="C126" s="11" t="n">
        <v>30</v>
      </c>
      <c r="D126" s="12" t="n">
        <v>0.0477123</v>
      </c>
      <c r="E126" s="12" t="n">
        <v>0.04762400000000001</v>
      </c>
      <c r="F126" s="12" t="n">
        <v>0.050451</v>
      </c>
      <c r="G126" s="13" t="n">
        <v>27.39</v>
      </c>
      <c r="H126" s="14" t="inlineStr">
        <is>
          <t>market</t>
        </is>
      </c>
      <c r="I126" s="15">
        <f>MAX($B$8,IF($B$9="",D126,MIN(D126,$B$9)))</f>
        <v/>
      </c>
      <c r="J126" s="15">
        <f>I126+$B$7/10000</f>
        <v/>
      </c>
    </row>
    <row r="127">
      <c r="A127" s="10" t="n">
        <v>49796</v>
      </c>
      <c r="B127" s="10" t="n">
        <v>49827</v>
      </c>
      <c r="C127" s="11" t="n">
        <v>31</v>
      </c>
      <c r="D127" s="12" t="n">
        <v>0.0476617</v>
      </c>
      <c r="E127" s="12" t="n">
        <v>0.04757049999999999</v>
      </c>
      <c r="F127" s="12" t="n">
        <v>0.0504416</v>
      </c>
      <c r="G127" s="13" t="n">
        <v>27.8</v>
      </c>
      <c r="H127" s="14" t="inlineStr">
        <is>
          <t>market</t>
        </is>
      </c>
      <c r="I127" s="15">
        <f>MAX($B$8,IF($B$9="",D127,MIN(D127,$B$9)))</f>
        <v/>
      </c>
      <c r="J127" s="15">
        <f>I127+$B$7/10000</f>
        <v/>
      </c>
    </row>
    <row r="128">
      <c r="A128" s="10" t="n">
        <v>49827</v>
      </c>
      <c r="B128" s="10" t="n">
        <v>49857</v>
      </c>
      <c r="C128" s="11" t="n">
        <v>30</v>
      </c>
      <c r="D128" s="12" t="n">
        <v>0.0476022</v>
      </c>
      <c r="E128" s="12" t="n">
        <v>0.0475139</v>
      </c>
      <c r="F128" s="12" t="n">
        <v>0.0504212</v>
      </c>
      <c r="G128" s="13" t="n">
        <v>28.19</v>
      </c>
      <c r="H128" s="14" t="inlineStr">
        <is>
          <t>market</t>
        </is>
      </c>
      <c r="I128" s="15">
        <f>MAX($B$8,IF($B$9="",D128,MIN(D128,$B$9)))</f>
        <v/>
      </c>
      <c r="J128" s="15">
        <f>I128+$B$7/10000</f>
        <v/>
      </c>
    </row>
    <row r="129">
      <c r="A129" s="16" t="n">
        <v>49857</v>
      </c>
      <c r="B129" s="16" t="n">
        <v>49888</v>
      </c>
      <c r="C129" s="17" t="n">
        <v>31</v>
      </c>
      <c r="D129" s="18" t="n">
        <v>0.0476031</v>
      </c>
      <c r="E129" s="18" t="n">
        <v>0.0475119</v>
      </c>
      <c r="F129" s="18" t="n">
        <v>0.0504238</v>
      </c>
      <c r="G129" s="19" t="n">
        <v>28.21</v>
      </c>
      <c r="H129" s="20" t="inlineStr">
        <is>
          <t>extrapolated</t>
        </is>
      </c>
      <c r="I129" s="21">
        <f>MAX($B$8,IF($B$9="",D129,MIN(D129,$B$9)))</f>
        <v/>
      </c>
      <c r="J129" s="21">
        <f>I129+$B$7/10000</f>
        <v/>
      </c>
    </row>
    <row r="130">
      <c r="A130" s="16" t="n">
        <v>49888</v>
      </c>
      <c r="B130" s="16" t="n">
        <v>49919</v>
      </c>
      <c r="C130" s="17" t="n">
        <v>31</v>
      </c>
      <c r="D130" s="18" t="n">
        <v>0.0476031</v>
      </c>
      <c r="E130" s="18" t="n">
        <v>0.0475119</v>
      </c>
      <c r="F130" s="18" t="n">
        <v>0.0504238</v>
      </c>
      <c r="G130" s="19" t="n">
        <v>28.21</v>
      </c>
      <c r="H130" s="20" t="inlineStr">
        <is>
          <t>extrapolated</t>
        </is>
      </c>
      <c r="I130" s="21">
        <f>MAX($B$8,IF($B$9="",D130,MIN(D130,$B$9)))</f>
        <v/>
      </c>
      <c r="J130" s="21">
        <f>I130+$B$7/10000</f>
        <v/>
      </c>
    </row>
    <row r="131">
      <c r="A131" s="16" t="n">
        <v>49919</v>
      </c>
      <c r="B131" s="16" t="n">
        <v>49949</v>
      </c>
      <c r="C131" s="17" t="n">
        <v>30</v>
      </c>
      <c r="D131" s="18" t="n">
        <v>0.0476004</v>
      </c>
      <c r="E131" s="18" t="n">
        <v>0.0475119</v>
      </c>
      <c r="F131" s="18" t="n">
        <v>0.0504208</v>
      </c>
      <c r="G131" s="19" t="n">
        <v>28.2</v>
      </c>
      <c r="H131" s="20" t="inlineStr">
        <is>
          <t>extrapolated</t>
        </is>
      </c>
      <c r="I131" s="21">
        <f>MAX($B$8,IF($B$9="",D131,MIN(D131,$B$9)))</f>
        <v/>
      </c>
      <c r="J131" s="21">
        <f>I131+$B$7/10000</f>
        <v/>
      </c>
    </row>
    <row r="132">
      <c r="A132" s="16" t="n">
        <v>49949</v>
      </c>
      <c r="B132" s="16" t="n">
        <v>49980</v>
      </c>
      <c r="C132" s="17" t="n">
        <v>31</v>
      </c>
      <c r="D132" s="18" t="n">
        <v>0.0476031</v>
      </c>
      <c r="E132" s="18" t="n">
        <v>0.0475119</v>
      </c>
      <c r="F132" s="18" t="n">
        <v>0.0504238</v>
      </c>
      <c r="G132" s="19" t="n">
        <v>28.21</v>
      </c>
      <c r="H132" s="20" t="inlineStr">
        <is>
          <t>extrapolated</t>
        </is>
      </c>
      <c r="I132" s="21">
        <f>MAX($B$8,IF($B$9="",D132,MIN(D132,$B$9)))</f>
        <v/>
      </c>
      <c r="J132" s="21">
        <f>I132+$B$7/10000</f>
        <v/>
      </c>
    </row>
    <row r="134">
      <c r="A134" s="5" t="inlineStr">
        <is>
          <t>1M Fwd SOFR: compounded SOFR over the calendar month, approximately the 1M Term SOFR fixing on the reset date.</t>
        </is>
      </c>
    </row>
    <row r="135">
      <c r="A135" s="5" t="inlineStr">
        <is>
          <t>Status: 'partially fixed' months blend published SOFR fixings with forwards; 'extrapolated' months (grey) lie beyond the last listed SR3 contract and hold its level flat.</t>
        </is>
      </c>
    </row>
    <row r="136">
      <c r="A136" s="5" t="inlineStr">
        <is>
          <t>Blue numbers are model outputs pasted as values; black cells are formulas driven by the yellow inputs.</t>
        </is>
      </c>
    </row>
    <row r="137">
      <c r="A137" s="5" t="inlineStr">
        <is>
          <t>Live data: https://raw.githubusercontent.com/jkane-29/opensofr/main/output/api/v1/latest.csv  (Excel: Data &gt; From Web, paste the URL, then Refresh All).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</cols>
  <sheetData>
    <row r="1">
      <c r="A1" s="2" t="inlineStr">
        <is>
          <t>Calendar-year averages (simple average of monthly values)</t>
        </is>
      </c>
    </row>
    <row r="3" ht="30" customHeight="1">
      <c r="A3" s="9" t="inlineStr">
        <is>
          <t>Year</t>
        </is>
      </c>
      <c r="B3" s="9" t="inlineStr">
        <is>
          <t>Months in Curve</t>
        </is>
      </c>
      <c r="C3" s="9" t="inlineStr">
        <is>
          <t>Avg 1M Fwd SOFR</t>
        </is>
      </c>
      <c r="D3" s="9" t="inlineStr">
        <is>
          <t>Avg All-in Rate</t>
        </is>
      </c>
    </row>
    <row r="4">
      <c r="A4" s="22" t="n">
        <v>2026</v>
      </c>
      <c r="B4" s="14">
        <f>COUNTIFS('Forward Curve'!$A$12:$A$132,"&gt;="&amp;DATE(A4,1,1),'Forward Curve'!$A$12:$A$132,"&lt;"&amp;DATE(A4+1,1,1))</f>
        <v/>
      </c>
      <c r="C4" s="15">
        <f>IFERROR(AVERAGEIFS('Forward Curve'!$D$12:$D$132,'Forward Curve'!$A$12:$A$132,"&gt;="&amp;DATE(A4,1,1),'Forward Curve'!$A$12:$A$132,"&lt;"&amp;DATE(A4+1,1,1)),"")</f>
        <v/>
      </c>
      <c r="D4" s="15">
        <f>IFERROR(AVERAGEIFS('Forward Curve'!$J$12:$J$132,'Forward Curve'!$A$12:$A$132,"&gt;="&amp;DATE(A4,1,1),'Forward Curve'!$A$12:$A$132,"&lt;"&amp;DATE(A4+1,1,1)),"")</f>
        <v/>
      </c>
    </row>
    <row r="5">
      <c r="A5" s="22" t="n">
        <v>2027</v>
      </c>
      <c r="B5" s="14">
        <f>COUNTIFS('Forward Curve'!$A$12:$A$132,"&gt;="&amp;DATE(A5,1,1),'Forward Curve'!$A$12:$A$132,"&lt;"&amp;DATE(A5+1,1,1))</f>
        <v/>
      </c>
      <c r="C5" s="15">
        <f>IFERROR(AVERAGEIFS('Forward Curve'!$D$12:$D$132,'Forward Curve'!$A$12:$A$132,"&gt;="&amp;DATE(A5,1,1),'Forward Curve'!$A$12:$A$132,"&lt;"&amp;DATE(A5+1,1,1)),"")</f>
        <v/>
      </c>
      <c r="D5" s="15">
        <f>IFERROR(AVERAGEIFS('Forward Curve'!$J$12:$J$132,'Forward Curve'!$A$12:$A$132,"&gt;="&amp;DATE(A5,1,1),'Forward Curve'!$A$12:$A$132,"&lt;"&amp;DATE(A5+1,1,1)),"")</f>
        <v/>
      </c>
    </row>
    <row r="6">
      <c r="A6" s="22" t="n">
        <v>2028</v>
      </c>
      <c r="B6" s="14">
        <f>COUNTIFS('Forward Curve'!$A$12:$A$132,"&gt;="&amp;DATE(A6,1,1),'Forward Curve'!$A$12:$A$132,"&lt;"&amp;DATE(A6+1,1,1))</f>
        <v/>
      </c>
      <c r="C6" s="15">
        <f>IFERROR(AVERAGEIFS('Forward Curve'!$D$12:$D$132,'Forward Curve'!$A$12:$A$132,"&gt;="&amp;DATE(A6,1,1),'Forward Curve'!$A$12:$A$132,"&lt;"&amp;DATE(A6+1,1,1)),"")</f>
        <v/>
      </c>
      <c r="D6" s="15">
        <f>IFERROR(AVERAGEIFS('Forward Curve'!$J$12:$J$132,'Forward Curve'!$A$12:$A$132,"&gt;="&amp;DATE(A6,1,1),'Forward Curve'!$A$12:$A$132,"&lt;"&amp;DATE(A6+1,1,1)),"")</f>
        <v/>
      </c>
    </row>
    <row r="7">
      <c r="A7" s="22" t="n">
        <v>2029</v>
      </c>
      <c r="B7" s="14">
        <f>COUNTIFS('Forward Curve'!$A$12:$A$132,"&gt;="&amp;DATE(A7,1,1),'Forward Curve'!$A$12:$A$132,"&lt;"&amp;DATE(A7+1,1,1))</f>
        <v/>
      </c>
      <c r="C7" s="15">
        <f>IFERROR(AVERAGEIFS('Forward Curve'!$D$12:$D$132,'Forward Curve'!$A$12:$A$132,"&gt;="&amp;DATE(A7,1,1),'Forward Curve'!$A$12:$A$132,"&lt;"&amp;DATE(A7+1,1,1)),"")</f>
        <v/>
      </c>
      <c r="D7" s="15">
        <f>IFERROR(AVERAGEIFS('Forward Curve'!$J$12:$J$132,'Forward Curve'!$A$12:$A$132,"&gt;="&amp;DATE(A7,1,1),'Forward Curve'!$A$12:$A$132,"&lt;"&amp;DATE(A7+1,1,1)),"")</f>
        <v/>
      </c>
    </row>
    <row r="8">
      <c r="A8" s="22" t="n">
        <v>2030</v>
      </c>
      <c r="B8" s="14">
        <f>COUNTIFS('Forward Curve'!$A$12:$A$132,"&gt;="&amp;DATE(A8,1,1),'Forward Curve'!$A$12:$A$132,"&lt;"&amp;DATE(A8+1,1,1))</f>
        <v/>
      </c>
      <c r="C8" s="15">
        <f>IFERROR(AVERAGEIFS('Forward Curve'!$D$12:$D$132,'Forward Curve'!$A$12:$A$132,"&gt;="&amp;DATE(A8,1,1),'Forward Curve'!$A$12:$A$132,"&lt;"&amp;DATE(A8+1,1,1)),"")</f>
        <v/>
      </c>
      <c r="D8" s="15">
        <f>IFERROR(AVERAGEIFS('Forward Curve'!$J$12:$J$132,'Forward Curve'!$A$12:$A$132,"&gt;="&amp;DATE(A8,1,1),'Forward Curve'!$A$12:$A$132,"&lt;"&amp;DATE(A8+1,1,1)),"")</f>
        <v/>
      </c>
    </row>
    <row r="9">
      <c r="A9" s="22" t="n">
        <v>2031</v>
      </c>
      <c r="B9" s="14">
        <f>COUNTIFS('Forward Curve'!$A$12:$A$132,"&gt;="&amp;DATE(A9,1,1),'Forward Curve'!$A$12:$A$132,"&lt;"&amp;DATE(A9+1,1,1))</f>
        <v/>
      </c>
      <c r="C9" s="15">
        <f>IFERROR(AVERAGEIFS('Forward Curve'!$D$12:$D$132,'Forward Curve'!$A$12:$A$132,"&gt;="&amp;DATE(A9,1,1),'Forward Curve'!$A$12:$A$132,"&lt;"&amp;DATE(A9+1,1,1)),"")</f>
        <v/>
      </c>
      <c r="D9" s="15">
        <f>IFERROR(AVERAGEIFS('Forward Curve'!$J$12:$J$132,'Forward Curve'!$A$12:$A$132,"&gt;="&amp;DATE(A9,1,1),'Forward Curve'!$A$12:$A$132,"&lt;"&amp;DATE(A9+1,1,1)),"")</f>
        <v/>
      </c>
    </row>
    <row r="10">
      <c r="A10" s="22" t="n">
        <v>2032</v>
      </c>
      <c r="B10" s="14">
        <f>COUNTIFS('Forward Curve'!$A$12:$A$132,"&gt;="&amp;DATE(A10,1,1),'Forward Curve'!$A$12:$A$132,"&lt;"&amp;DATE(A10+1,1,1))</f>
        <v/>
      </c>
      <c r="C10" s="15">
        <f>IFERROR(AVERAGEIFS('Forward Curve'!$D$12:$D$132,'Forward Curve'!$A$12:$A$132,"&gt;="&amp;DATE(A10,1,1),'Forward Curve'!$A$12:$A$132,"&lt;"&amp;DATE(A10+1,1,1)),"")</f>
        <v/>
      </c>
      <c r="D10" s="15">
        <f>IFERROR(AVERAGEIFS('Forward Curve'!$J$12:$J$132,'Forward Curve'!$A$12:$A$132,"&gt;="&amp;DATE(A10,1,1),'Forward Curve'!$A$12:$A$132,"&lt;"&amp;DATE(A10+1,1,1)),"")</f>
        <v/>
      </c>
    </row>
    <row r="11">
      <c r="A11" s="22" t="n">
        <v>2033</v>
      </c>
      <c r="B11" s="14">
        <f>COUNTIFS('Forward Curve'!$A$12:$A$132,"&gt;="&amp;DATE(A11,1,1),'Forward Curve'!$A$12:$A$132,"&lt;"&amp;DATE(A11+1,1,1))</f>
        <v/>
      </c>
      <c r="C11" s="15">
        <f>IFERROR(AVERAGEIFS('Forward Curve'!$D$12:$D$132,'Forward Curve'!$A$12:$A$132,"&gt;="&amp;DATE(A11,1,1),'Forward Curve'!$A$12:$A$132,"&lt;"&amp;DATE(A11+1,1,1)),"")</f>
        <v/>
      </c>
      <c r="D11" s="15">
        <f>IFERROR(AVERAGEIFS('Forward Curve'!$J$12:$J$132,'Forward Curve'!$A$12:$A$132,"&gt;="&amp;DATE(A11,1,1),'Forward Curve'!$A$12:$A$132,"&lt;"&amp;DATE(A11+1,1,1)),"")</f>
        <v/>
      </c>
    </row>
    <row r="12">
      <c r="A12" s="22" t="n">
        <v>2034</v>
      </c>
      <c r="B12" s="14">
        <f>COUNTIFS('Forward Curve'!$A$12:$A$132,"&gt;="&amp;DATE(A12,1,1),'Forward Curve'!$A$12:$A$132,"&lt;"&amp;DATE(A12+1,1,1))</f>
        <v/>
      </c>
      <c r="C12" s="15">
        <f>IFERROR(AVERAGEIFS('Forward Curve'!$D$12:$D$132,'Forward Curve'!$A$12:$A$132,"&gt;="&amp;DATE(A12,1,1),'Forward Curve'!$A$12:$A$132,"&lt;"&amp;DATE(A12+1,1,1)),"")</f>
        <v/>
      </c>
      <c r="D12" s="15">
        <f>IFERROR(AVERAGEIFS('Forward Curve'!$J$12:$J$132,'Forward Curve'!$A$12:$A$132,"&gt;="&amp;DATE(A12,1,1),'Forward Curve'!$A$12:$A$132,"&lt;"&amp;DATE(A12+1,1,1)),"")</f>
        <v/>
      </c>
    </row>
    <row r="13">
      <c r="A13" s="22" t="n">
        <v>2035</v>
      </c>
      <c r="B13" s="14">
        <f>COUNTIFS('Forward Curve'!$A$12:$A$132,"&gt;="&amp;DATE(A13,1,1),'Forward Curve'!$A$12:$A$132,"&lt;"&amp;DATE(A13+1,1,1))</f>
        <v/>
      </c>
      <c r="C13" s="15">
        <f>IFERROR(AVERAGEIFS('Forward Curve'!$D$12:$D$132,'Forward Curve'!$A$12:$A$132,"&gt;="&amp;DATE(A13,1,1),'Forward Curve'!$A$12:$A$132,"&lt;"&amp;DATE(A13+1,1,1)),"")</f>
        <v/>
      </c>
      <c r="D13" s="15">
        <f>IFERROR(AVERAGEIFS('Forward Curve'!$J$12:$J$132,'Forward Curve'!$A$12:$A$132,"&gt;="&amp;DATE(A13,1,1),'Forward Curve'!$A$12:$A$132,"&lt;"&amp;DATE(A13+1,1,1)),"")</f>
        <v/>
      </c>
    </row>
    <row r="14">
      <c r="A14" s="22" t="n">
        <v>2036</v>
      </c>
      <c r="B14" s="14">
        <f>COUNTIFS('Forward Curve'!$A$12:$A$132,"&gt;="&amp;DATE(A14,1,1),'Forward Curve'!$A$12:$A$132,"&lt;"&amp;DATE(A14+1,1,1))</f>
        <v/>
      </c>
      <c r="C14" s="15">
        <f>IFERROR(AVERAGEIFS('Forward Curve'!$D$12:$D$132,'Forward Curve'!$A$12:$A$132,"&gt;="&amp;DATE(A14,1,1),'Forward Curve'!$A$12:$A$132,"&lt;"&amp;DATE(A14+1,1,1)),"")</f>
        <v/>
      </c>
      <c r="D14" s="15">
        <f>IFERROR(AVERAGEIFS('Forward Curve'!$J$12:$J$132,'Forward Curve'!$A$12:$A$132,"&gt;="&amp;DATE(A14,1,1),'Forward Curve'!$A$12:$A$132,"&lt;"&amp;DATE(A14+1,1,1)),"")</f>
        <v/>
      </c>
    </row>
    <row r="16">
      <c r="A16" s="5" t="inlineStr">
        <is>
          <t>Years with fewer than 12 months are partial (curve starts in the current month).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2" t="inlineStr">
        <is>
          <t>CME SOFR futures settlements used in the fit (trade date 2026-10-23)</t>
        </is>
      </c>
    </row>
    <row r="3" ht="30" customHeight="1">
      <c r="A3" s="9" t="inlineStr">
        <is>
          <t>Contract</t>
        </is>
      </c>
      <c r="B3" s="9" t="inlineStr">
        <is>
          <t>Reference Start</t>
        </is>
      </c>
      <c r="C3" s="9" t="inlineStr">
        <is>
          <t>Reference End</t>
        </is>
      </c>
      <c r="D3" s="9" t="inlineStr">
        <is>
          <t>Settle</t>
        </is>
      </c>
      <c r="E3" s="9" t="inlineStr">
        <is>
          <t>Implied Rate</t>
        </is>
      </c>
      <c r="F3" s="9" t="inlineStr">
        <is>
          <t>Convexity (bp)</t>
        </is>
      </c>
      <c r="G3" s="9" t="inlineStr">
        <is>
          <t>Model Rate</t>
        </is>
      </c>
      <c r="H3" s="9" t="inlineStr">
        <is>
          <t>Residual (bp)</t>
        </is>
      </c>
      <c r="I3" s="9" t="inlineStr">
        <is>
          <t>Open Interest</t>
        </is>
      </c>
    </row>
    <row r="4">
      <c r="A4" s="14" t="inlineStr">
        <is>
          <t>SR3 AUG 26</t>
        </is>
      </c>
      <c r="B4" s="10" t="n">
        <v>46253</v>
      </c>
      <c r="C4" s="10" t="n">
        <v>46344</v>
      </c>
      <c r="D4" s="23" t="n">
        <v>96.1675</v>
      </c>
      <c r="E4" s="15">
        <f>(100-D4)/100</f>
        <v/>
      </c>
      <c r="F4" s="24" t="n">
        <v>0</v>
      </c>
      <c r="G4" s="12" t="n">
        <v>0.0383419</v>
      </c>
      <c r="H4" s="24" t="n">
        <v>0.169</v>
      </c>
      <c r="I4" s="25" t="n">
        <v>7574</v>
      </c>
    </row>
    <row r="5">
      <c r="A5" s="14" t="inlineStr">
        <is>
          <t>SR3 SEP 26</t>
        </is>
      </c>
      <c r="B5" s="10" t="n">
        <v>46281</v>
      </c>
      <c r="C5" s="10" t="n">
        <v>46372</v>
      </c>
      <c r="D5" s="23" t="n">
        <v>96.065</v>
      </c>
      <c r="E5" s="15">
        <f>(100-D5)/100</f>
        <v/>
      </c>
      <c r="F5" s="24" t="n">
        <v>0</v>
      </c>
      <c r="G5" s="12" t="n">
        <v>0.0393544</v>
      </c>
      <c r="H5" s="24" t="n">
        <v>0.044</v>
      </c>
      <c r="I5" s="25" t="n">
        <v>1315971</v>
      </c>
    </row>
    <row r="6">
      <c r="A6" s="14" t="inlineStr">
        <is>
          <t>SR1 OCT 26</t>
        </is>
      </c>
      <c r="B6" s="10" t="n">
        <v>46296</v>
      </c>
      <c r="C6" s="10" t="n">
        <v>46327</v>
      </c>
      <c r="D6" s="23" t="n">
        <v>96.105</v>
      </c>
      <c r="E6" s="15">
        <f>(100-D6)/100</f>
        <v/>
      </c>
      <c r="F6" s="24" t="n">
        <v>0</v>
      </c>
      <c r="G6" s="12" t="n">
        <v>0.038911</v>
      </c>
      <c r="H6" s="24" t="n">
        <v>-0.39</v>
      </c>
      <c r="I6" s="25" t="n">
        <v>361918</v>
      </c>
    </row>
    <row r="7">
      <c r="A7" s="14" t="inlineStr">
        <is>
          <t>SR3 OCT 26</t>
        </is>
      </c>
      <c r="B7" s="10" t="n">
        <v>46316</v>
      </c>
      <c r="C7" s="10" t="n">
        <v>46407</v>
      </c>
      <c r="D7" s="23" t="n">
        <v>95.9675</v>
      </c>
      <c r="E7" s="15">
        <f>(100-D7)/100</f>
        <v/>
      </c>
      <c r="F7" s="24" t="n">
        <v>0</v>
      </c>
      <c r="G7" s="12" t="n">
        <v>0.0403352</v>
      </c>
      <c r="H7" s="24" t="n">
        <v>0.102</v>
      </c>
      <c r="I7" s="25" t="n">
        <v>7222</v>
      </c>
    </row>
    <row r="8">
      <c r="A8" s="14" t="inlineStr">
        <is>
          <t>SR1 NOV 26</t>
        </is>
      </c>
      <c r="B8" s="10" t="n">
        <v>46327</v>
      </c>
      <c r="C8" s="10" t="n">
        <v>46357</v>
      </c>
      <c r="D8" s="23" t="n">
        <v>96.075</v>
      </c>
      <c r="E8" s="15">
        <f>(100-D8)/100</f>
        <v/>
      </c>
      <c r="F8" s="24" t="n">
        <v>0</v>
      </c>
      <c r="G8" s="12" t="n">
        <v>0.0392729</v>
      </c>
      <c r="H8" s="24" t="n">
        <v>0.229</v>
      </c>
      <c r="I8" s="25" t="n">
        <v>289356</v>
      </c>
    </row>
    <row r="9">
      <c r="A9" s="14" t="inlineStr">
        <is>
          <t>SR3 NOV 26</t>
        </is>
      </c>
      <c r="B9" s="10" t="n">
        <v>46344</v>
      </c>
      <c r="C9" s="10" t="n">
        <v>46435</v>
      </c>
      <c r="D9" s="23" t="n">
        <v>95.8875</v>
      </c>
      <c r="E9" s="15">
        <f>(100-D9)/100</f>
        <v/>
      </c>
      <c r="F9" s="24" t="n">
        <v>0.01</v>
      </c>
      <c r="G9" s="12" t="n">
        <v>0.0411115</v>
      </c>
      <c r="H9" s="24" t="n">
        <v>-0.135</v>
      </c>
      <c r="I9" s="25" t="n">
        <v>2035</v>
      </c>
    </row>
    <row r="10">
      <c r="A10" s="14" t="inlineStr">
        <is>
          <t>SR1 DEC 26</t>
        </is>
      </c>
      <c r="B10" s="10" t="n">
        <v>46357</v>
      </c>
      <c r="C10" s="10" t="n">
        <v>46388</v>
      </c>
      <c r="D10" s="23" t="n">
        <v>95.93000000000001</v>
      </c>
      <c r="E10" s="15">
        <f>(100-D10)/100</f>
        <v/>
      </c>
      <c r="F10" s="24" t="n">
        <v>0.01</v>
      </c>
      <c r="G10" s="12" t="n">
        <v>0.0406597</v>
      </c>
      <c r="H10" s="24" t="n">
        <v>-0.403</v>
      </c>
      <c r="I10" s="25" t="n">
        <v>239346</v>
      </c>
    </row>
    <row r="11">
      <c r="A11" s="14" t="inlineStr">
        <is>
          <t>SR3 DEC 26</t>
        </is>
      </c>
      <c r="B11" s="10" t="n">
        <v>46372</v>
      </c>
      <c r="C11" s="10" t="n">
        <v>46463</v>
      </c>
      <c r="D11" s="23" t="n">
        <v>95.81999999999999</v>
      </c>
      <c r="E11" s="15">
        <f>(100-D11)/100</f>
        <v/>
      </c>
      <c r="F11" s="24" t="n">
        <v>0.02</v>
      </c>
      <c r="G11" s="12" t="n">
        <v>0.0418019</v>
      </c>
      <c r="H11" s="24" t="n">
        <v>0.019</v>
      </c>
      <c r="I11" s="25" t="n">
        <v>1573564</v>
      </c>
    </row>
    <row r="12">
      <c r="A12" s="14" t="inlineStr">
        <is>
          <t>SR1 JAN 27</t>
        </is>
      </c>
      <c r="B12" s="10" t="n">
        <v>46388</v>
      </c>
      <c r="C12" s="10" t="n">
        <v>46419</v>
      </c>
      <c r="D12" s="23" t="n">
        <v>95.87</v>
      </c>
      <c r="E12" s="15">
        <f>(100-D12)/100</f>
        <v/>
      </c>
      <c r="F12" s="24" t="n">
        <v>0.02</v>
      </c>
      <c r="G12" s="12" t="n">
        <v>0.0413159</v>
      </c>
      <c r="H12" s="24" t="n">
        <v>0.159</v>
      </c>
      <c r="I12" s="25" t="n">
        <v>186854</v>
      </c>
    </row>
    <row r="13">
      <c r="A13" s="14" t="inlineStr">
        <is>
          <t>SR3 JAN 27</t>
        </is>
      </c>
      <c r="B13" s="10" t="n">
        <v>46407</v>
      </c>
      <c r="C13" s="10" t="n">
        <v>46498</v>
      </c>
      <c r="D13" s="23" t="n">
        <v>95.73999999999999</v>
      </c>
      <c r="E13" s="15">
        <f>(100-D13)/100</f>
        <v/>
      </c>
      <c r="F13" s="24" t="n">
        <v>0.05</v>
      </c>
      <c r="G13" s="12" t="n">
        <v>0.0426102</v>
      </c>
      <c r="H13" s="24" t="n">
        <v>0.102</v>
      </c>
      <c r="I13" s="25" t="n">
        <v>1409</v>
      </c>
    </row>
    <row r="14">
      <c r="A14" s="14" t="inlineStr">
        <is>
          <t>SR1 FEB 27</t>
        </is>
      </c>
      <c r="B14" s="10" t="n">
        <v>46419</v>
      </c>
      <c r="C14" s="10" t="n">
        <v>46447</v>
      </c>
      <c r="D14" s="23" t="n">
        <v>95.81</v>
      </c>
      <c r="E14" s="15">
        <f>(100-D14)/100</f>
        <v/>
      </c>
      <c r="F14" s="24" t="n">
        <v>0.04</v>
      </c>
      <c r="G14" s="12" t="n">
        <v>0.04191130000000001</v>
      </c>
      <c r="H14" s="24" t="n">
        <v>0.113</v>
      </c>
      <c r="I14" s="25" t="n">
        <v>100934</v>
      </c>
    </row>
    <row r="15">
      <c r="A15" s="14" t="inlineStr">
        <is>
          <t>SR3 FEB 27</t>
        </is>
      </c>
      <c r="B15" s="10" t="n">
        <v>46435</v>
      </c>
      <c r="C15" s="10" t="n">
        <v>46526</v>
      </c>
      <c r="D15" s="23" t="n">
        <v>95.675</v>
      </c>
      <c r="E15" s="15">
        <f>(100-D15)/100</f>
        <v/>
      </c>
      <c r="F15" s="24" t="n">
        <v>0.07000000000000001</v>
      </c>
      <c r="G15" s="12" t="n">
        <v>0.043298</v>
      </c>
      <c r="H15" s="24" t="n">
        <v>0.48</v>
      </c>
      <c r="I15" s="25" t="n">
        <v>554</v>
      </c>
    </row>
    <row r="16">
      <c r="A16" s="14" t="inlineStr">
        <is>
          <t>SR1 MAR 27</t>
        </is>
      </c>
      <c r="B16" s="10" t="n">
        <v>46447</v>
      </c>
      <c r="C16" s="10" t="n">
        <v>46478</v>
      </c>
      <c r="D16" s="23" t="n">
        <v>95.73999999999999</v>
      </c>
      <c r="E16" s="15">
        <f>(100-D16)/100</f>
        <v/>
      </c>
      <c r="F16" s="24" t="n">
        <v>0.06</v>
      </c>
      <c r="G16" s="12" t="n">
        <v>0.0425603</v>
      </c>
      <c r="H16" s="24" t="n">
        <v>-0.397</v>
      </c>
      <c r="I16" s="25" t="n">
        <v>35762</v>
      </c>
    </row>
    <row r="17">
      <c r="A17" s="14" t="inlineStr">
        <is>
          <t>SR3 MAR 27</t>
        </is>
      </c>
      <c r="B17" s="10" t="n">
        <v>46463</v>
      </c>
      <c r="C17" s="10" t="n">
        <v>46554</v>
      </c>
      <c r="D17" s="23" t="n">
        <v>95.59</v>
      </c>
      <c r="E17" s="15">
        <f>(100-D17)/100</f>
        <v/>
      </c>
      <c r="F17" s="24" t="n">
        <v>0.1</v>
      </c>
      <c r="G17" s="12" t="n">
        <v>0.0440632</v>
      </c>
      <c r="H17" s="24" t="n">
        <v>-0.368</v>
      </c>
      <c r="I17" s="25" t="n">
        <v>1334265</v>
      </c>
    </row>
    <row r="18">
      <c r="A18" s="14" t="inlineStr">
        <is>
          <t>SR1 APR 27</t>
        </is>
      </c>
      <c r="B18" s="10" t="n">
        <v>46478</v>
      </c>
      <c r="C18" s="10" t="n">
        <v>46508</v>
      </c>
      <c r="D18" s="23" t="n">
        <v>95.66</v>
      </c>
      <c r="E18" s="15">
        <f>(100-D18)/100</f>
        <v/>
      </c>
      <c r="F18" s="24" t="n">
        <v>0.09</v>
      </c>
      <c r="G18" s="12" t="n">
        <v>0.04340239999999999</v>
      </c>
      <c r="H18" s="24" t="n">
        <v>0.024</v>
      </c>
      <c r="I18" s="25" t="n">
        <v>69216</v>
      </c>
    </row>
    <row r="19">
      <c r="A19" s="14" t="inlineStr">
        <is>
          <t>SR1 MAY 27</t>
        </is>
      </c>
      <c r="B19" s="10" t="n">
        <v>46508</v>
      </c>
      <c r="C19" s="10" t="n">
        <v>46539</v>
      </c>
      <c r="D19" s="23" t="n">
        <v>95.58499999999999</v>
      </c>
      <c r="E19" s="15">
        <f>(100-D19)/100</f>
        <v/>
      </c>
      <c r="F19" s="24" t="n">
        <v>0.13</v>
      </c>
      <c r="G19" s="12" t="n">
        <v>0.0441594</v>
      </c>
      <c r="H19" s="24" t="n">
        <v>0.094</v>
      </c>
      <c r="I19" s="25" t="n">
        <v>71683</v>
      </c>
    </row>
    <row r="20">
      <c r="A20" s="14" t="inlineStr">
        <is>
          <t>SR1 JUN 27</t>
        </is>
      </c>
      <c r="B20" s="10" t="n">
        <v>46539</v>
      </c>
      <c r="C20" s="10" t="n">
        <v>46569</v>
      </c>
      <c r="D20" s="23" t="n">
        <v>95.515</v>
      </c>
      <c r="E20" s="15">
        <f>(100-D20)/100</f>
        <v/>
      </c>
      <c r="F20" s="24" t="n">
        <v>0.17</v>
      </c>
      <c r="G20" s="12" t="n">
        <v>0.04485579999999999</v>
      </c>
      <c r="H20" s="24" t="n">
        <v>0.058</v>
      </c>
      <c r="I20" s="25" t="n">
        <v>21182</v>
      </c>
    </row>
    <row r="21">
      <c r="A21" s="14" t="inlineStr">
        <is>
          <t>SR3 JUN 27</t>
        </is>
      </c>
      <c r="B21" s="10" t="n">
        <v>46554</v>
      </c>
      <c r="C21" s="10" t="n">
        <v>46645</v>
      </c>
      <c r="D21" s="23" t="n">
        <v>95.44</v>
      </c>
      <c r="E21" s="15">
        <f>(100-D21)/100</f>
        <v/>
      </c>
      <c r="F21" s="24" t="n">
        <v>0.23</v>
      </c>
      <c r="G21" s="12" t="n">
        <v>0.045603</v>
      </c>
      <c r="H21" s="24" t="n">
        <v>0.03</v>
      </c>
      <c r="I21" s="25" t="n">
        <v>1238896</v>
      </c>
    </row>
    <row r="22">
      <c r="A22" s="14" t="inlineStr">
        <is>
          <t>SR1 JUL 27</t>
        </is>
      </c>
      <c r="B22" s="10" t="n">
        <v>46569</v>
      </c>
      <c r="C22" s="10" t="n">
        <v>46600</v>
      </c>
      <c r="D22" s="23" t="n">
        <v>95.48</v>
      </c>
      <c r="E22" s="15">
        <f>(100-D22)/100</f>
        <v/>
      </c>
      <c r="F22" s="24" t="n">
        <v>0.21</v>
      </c>
      <c r="G22" s="12" t="n">
        <v>0.0451918</v>
      </c>
      <c r="H22" s="24" t="n">
        <v>-0.082</v>
      </c>
      <c r="I22" s="25" t="n">
        <v>38412</v>
      </c>
    </row>
    <row r="23">
      <c r="A23" s="14" t="inlineStr">
        <is>
          <t>SR1 AUG 27</t>
        </is>
      </c>
      <c r="B23" s="10" t="n">
        <v>46600</v>
      </c>
      <c r="C23" s="10" t="n">
        <v>46631</v>
      </c>
      <c r="D23" s="23" t="n">
        <v>95.45</v>
      </c>
      <c r="E23" s="15">
        <f>(100-D23)/100</f>
        <v/>
      </c>
      <c r="F23" s="24" t="n">
        <v>0.26</v>
      </c>
      <c r="G23" s="12" t="n">
        <v>0.0455212</v>
      </c>
      <c r="H23" s="24" t="n">
        <v>0.212</v>
      </c>
      <c r="I23" s="25" t="n">
        <v>19872</v>
      </c>
    </row>
    <row r="24">
      <c r="A24" s="14" t="inlineStr">
        <is>
          <t>SR1 SEP 27</t>
        </is>
      </c>
      <c r="B24" s="10" t="n">
        <v>46631</v>
      </c>
      <c r="C24" s="10" t="n">
        <v>46661</v>
      </c>
      <c r="D24" s="23" t="n">
        <v>95.425</v>
      </c>
      <c r="E24" s="15">
        <f>(100-D24)/100</f>
        <v/>
      </c>
      <c r="F24" s="24" t="n">
        <v>0.32</v>
      </c>
      <c r="G24" s="12" t="n">
        <v>0.0457113</v>
      </c>
      <c r="H24" s="24" t="n">
        <v>-0.387</v>
      </c>
      <c r="I24" s="25" t="n">
        <v>5238</v>
      </c>
    </row>
    <row r="25">
      <c r="A25" s="14" t="inlineStr">
        <is>
          <t>SR3 SEP 27</t>
        </is>
      </c>
      <c r="B25" s="10" t="n">
        <v>46645</v>
      </c>
      <c r="C25" s="10" t="n">
        <v>46736</v>
      </c>
      <c r="D25" s="23" t="n">
        <v>95.39</v>
      </c>
      <c r="E25" s="15">
        <f>(100-D25)/100</f>
        <v/>
      </c>
      <c r="F25" s="24" t="n">
        <v>0.4</v>
      </c>
      <c r="G25" s="12" t="n">
        <v>0.0461397</v>
      </c>
      <c r="H25" s="24" t="n">
        <v>0.397</v>
      </c>
      <c r="I25" s="25" t="n">
        <v>1071479</v>
      </c>
    </row>
    <row r="26">
      <c r="A26" s="14" t="inlineStr">
        <is>
          <t>SR1 OCT 27</t>
        </is>
      </c>
      <c r="B26" s="10" t="n">
        <v>46661</v>
      </c>
      <c r="C26" s="10" t="n">
        <v>46692</v>
      </c>
      <c r="D26" s="23" t="n">
        <v>95.41</v>
      </c>
      <c r="E26" s="15">
        <f>(100-D26)/100</f>
        <v/>
      </c>
      <c r="F26" s="24" t="n">
        <v>0.38</v>
      </c>
      <c r="G26" s="12" t="n">
        <v>0.0458985</v>
      </c>
      <c r="H26" s="24" t="n">
        <v>-0.015</v>
      </c>
      <c r="I26" s="25" t="n">
        <v>7666</v>
      </c>
    </row>
    <row r="27">
      <c r="A27" s="14" t="inlineStr">
        <is>
          <t>SR1 NOV 27</t>
        </is>
      </c>
      <c r="B27" s="10" t="n">
        <v>46692</v>
      </c>
      <c r="C27" s="10" t="n">
        <v>46722</v>
      </c>
      <c r="D27" s="23" t="n">
        <v>95.41</v>
      </c>
      <c r="E27" s="15">
        <f>(100-D27)/100</f>
        <v/>
      </c>
      <c r="F27" s="24" t="n">
        <v>0.44</v>
      </c>
      <c r="G27" s="12" t="n">
        <v>0.0458821</v>
      </c>
      <c r="H27" s="24" t="n">
        <v>-0.179</v>
      </c>
      <c r="I27" s="25" t="n">
        <v>1769</v>
      </c>
    </row>
    <row r="28">
      <c r="A28" s="14" t="inlineStr">
        <is>
          <t>SR3 DEC 27</t>
        </is>
      </c>
      <c r="B28" s="10" t="n">
        <v>46736</v>
      </c>
      <c r="C28" s="10" t="n">
        <v>46827</v>
      </c>
      <c r="D28" s="23" t="n">
        <v>95.40000000000001</v>
      </c>
      <c r="E28" s="15">
        <f>(100-D28)/100</f>
        <v/>
      </c>
      <c r="F28" s="24" t="n">
        <v>0.62</v>
      </c>
      <c r="G28" s="12" t="n">
        <v>0.04599669999999999</v>
      </c>
      <c r="H28" s="24" t="n">
        <v>-0.033</v>
      </c>
      <c r="I28" s="25" t="n">
        <v>1618719</v>
      </c>
    </row>
    <row r="29">
      <c r="A29" s="14" t="inlineStr">
        <is>
          <t>SR3 MAR 28</t>
        </is>
      </c>
      <c r="B29" s="10" t="n">
        <v>46827</v>
      </c>
      <c r="C29" s="10" t="n">
        <v>46925</v>
      </c>
      <c r="D29" s="23" t="n">
        <v>95.425</v>
      </c>
      <c r="E29" s="15">
        <f>(100-D29)/100</f>
        <v/>
      </c>
      <c r="F29" s="24" t="n">
        <v>0.9</v>
      </c>
      <c r="G29" s="12" t="n">
        <v>0.0457515</v>
      </c>
      <c r="H29" s="24" t="n">
        <v>0.015</v>
      </c>
      <c r="I29" s="25" t="n">
        <v>830047</v>
      </c>
    </row>
    <row r="30">
      <c r="A30" s="14" t="inlineStr">
        <is>
          <t>SR3 JUN 28</t>
        </is>
      </c>
      <c r="B30" s="10" t="n">
        <v>46925</v>
      </c>
      <c r="C30" s="10" t="n">
        <v>47016</v>
      </c>
      <c r="D30" s="23" t="n">
        <v>95.44499999999999</v>
      </c>
      <c r="E30" s="15">
        <f>(100-D30)/100</f>
        <v/>
      </c>
      <c r="F30" s="24" t="n">
        <v>1.22</v>
      </c>
      <c r="G30" s="12" t="n">
        <v>0.0455507</v>
      </c>
      <c r="H30" s="24" t="n">
        <v>0.007</v>
      </c>
      <c r="I30" s="25" t="n">
        <v>659097</v>
      </c>
    </row>
    <row r="31">
      <c r="A31" s="14" t="inlineStr">
        <is>
          <t>SR3 SEP 28</t>
        </is>
      </c>
      <c r="B31" s="10" t="n">
        <v>47016</v>
      </c>
      <c r="C31" s="10" t="n">
        <v>47107</v>
      </c>
      <c r="D31" s="23" t="n">
        <v>95.45999999999999</v>
      </c>
      <c r="E31" s="15">
        <f>(100-D31)/100</f>
        <v/>
      </c>
      <c r="F31" s="24" t="n">
        <v>1.57</v>
      </c>
      <c r="G31" s="12" t="n">
        <v>0.0453979</v>
      </c>
      <c r="H31" s="24" t="n">
        <v>-0.021</v>
      </c>
      <c r="I31" s="25" t="n">
        <v>678440</v>
      </c>
    </row>
    <row r="32">
      <c r="A32" s="14" t="inlineStr">
        <is>
          <t>SR3 DEC 28</t>
        </is>
      </c>
      <c r="B32" s="10" t="n">
        <v>47107</v>
      </c>
      <c r="C32" s="10" t="n">
        <v>47198</v>
      </c>
      <c r="D32" s="23" t="n">
        <v>95.48</v>
      </c>
      <c r="E32" s="15">
        <f>(100-D32)/100</f>
        <v/>
      </c>
      <c r="F32" s="24" t="n">
        <v>1.97</v>
      </c>
      <c r="G32" s="12" t="n">
        <v>0.0452012</v>
      </c>
      <c r="H32" s="24" t="n">
        <v>0.012</v>
      </c>
      <c r="I32" s="25" t="n">
        <v>552076</v>
      </c>
    </row>
    <row r="33">
      <c r="A33" s="14" t="inlineStr">
        <is>
          <t>SR3 MAR 29</t>
        </is>
      </c>
      <c r="B33" s="10" t="n">
        <v>47198</v>
      </c>
      <c r="C33" s="10" t="n">
        <v>47289</v>
      </c>
      <c r="D33" s="23" t="n">
        <v>95.5</v>
      </c>
      <c r="E33" s="15">
        <f>(100-D33)/100</f>
        <v/>
      </c>
      <c r="F33" s="24" t="n">
        <v>2.41</v>
      </c>
      <c r="G33" s="12" t="n">
        <v>0.0449984</v>
      </c>
      <c r="H33" s="24" t="n">
        <v>-0.016</v>
      </c>
      <c r="I33" s="25" t="n">
        <v>381514</v>
      </c>
    </row>
    <row r="34">
      <c r="A34" s="14" t="inlineStr">
        <is>
          <t>SR3 JUN 29</t>
        </is>
      </c>
      <c r="B34" s="10" t="n">
        <v>47289</v>
      </c>
      <c r="C34" s="10" t="n">
        <v>47380</v>
      </c>
      <c r="D34" s="23" t="n">
        <v>95.515</v>
      </c>
      <c r="E34" s="15">
        <f>(100-D34)/100</f>
        <v/>
      </c>
      <c r="F34" s="24" t="n">
        <v>2.88</v>
      </c>
      <c r="G34" s="12" t="n">
        <v>0.044854</v>
      </c>
      <c r="H34" s="24" t="n">
        <v>0.04</v>
      </c>
      <c r="I34" s="25" t="n">
        <v>391934</v>
      </c>
    </row>
    <row r="35">
      <c r="A35" s="14" t="inlineStr">
        <is>
          <t>SR3 SEP 29</t>
        </is>
      </c>
      <c r="B35" s="10" t="n">
        <v>47380</v>
      </c>
      <c r="C35" s="10" t="n">
        <v>47471</v>
      </c>
      <c r="D35" s="23" t="n">
        <v>95.52</v>
      </c>
      <c r="E35" s="15">
        <f>(100-D35)/100</f>
        <v/>
      </c>
      <c r="F35" s="24" t="n">
        <v>3.4</v>
      </c>
      <c r="G35" s="12" t="n">
        <v>0.0447947</v>
      </c>
      <c r="H35" s="24" t="n">
        <v>-0.053</v>
      </c>
      <c r="I35" s="25" t="n">
        <v>303902</v>
      </c>
    </row>
    <row r="36">
      <c r="A36" s="14" t="inlineStr">
        <is>
          <t>SR3 DEC 29</t>
        </is>
      </c>
      <c r="B36" s="10" t="n">
        <v>47471</v>
      </c>
      <c r="C36" s="10" t="n">
        <v>47562</v>
      </c>
      <c r="D36" s="23" t="n">
        <v>95.52500000000001</v>
      </c>
      <c r="E36" s="15">
        <f>(100-D36)/100</f>
        <v/>
      </c>
      <c r="F36" s="24" t="n">
        <v>3.95</v>
      </c>
      <c r="G36" s="12" t="n">
        <v>0.0447557</v>
      </c>
      <c r="H36" s="24" t="n">
        <v>0.057</v>
      </c>
      <c r="I36" s="25" t="n">
        <v>244481</v>
      </c>
    </row>
    <row r="37">
      <c r="A37" s="14" t="inlineStr">
        <is>
          <t>SR3 MAR 30</t>
        </is>
      </c>
      <c r="B37" s="10" t="n">
        <v>47562</v>
      </c>
      <c r="C37" s="10" t="n">
        <v>47653</v>
      </c>
      <c r="D37" s="23" t="n">
        <v>95.52</v>
      </c>
      <c r="E37" s="15">
        <f>(100-D37)/100</f>
        <v/>
      </c>
      <c r="F37" s="24" t="n">
        <v>4.54</v>
      </c>
      <c r="G37" s="12" t="n">
        <v>0.0447943</v>
      </c>
      <c r="H37" s="24" t="n">
        <v>-0.057</v>
      </c>
      <c r="I37" s="25" t="n">
        <v>180561</v>
      </c>
    </row>
    <row r="38">
      <c r="A38" s="14" t="inlineStr">
        <is>
          <t>SR3 JUN 30</t>
        </is>
      </c>
      <c r="B38" s="10" t="n">
        <v>47653</v>
      </c>
      <c r="C38" s="10" t="n">
        <v>47744</v>
      </c>
      <c r="D38" s="23" t="n">
        <v>95.515</v>
      </c>
      <c r="E38" s="15">
        <f>(100-D38)/100</f>
        <v/>
      </c>
      <c r="F38" s="24" t="n">
        <v>5.17</v>
      </c>
      <c r="G38" s="12" t="n">
        <v>0.0448556</v>
      </c>
      <c r="H38" s="24" t="n">
        <v>0.056</v>
      </c>
      <c r="I38" s="25" t="n">
        <v>157616</v>
      </c>
    </row>
    <row r="39">
      <c r="A39" s="14" t="inlineStr">
        <is>
          <t>SR3 SEP 30</t>
        </is>
      </c>
      <c r="B39" s="10" t="n">
        <v>47744</v>
      </c>
      <c r="C39" s="10" t="n">
        <v>47835</v>
      </c>
      <c r="D39" s="23" t="n">
        <v>95.5</v>
      </c>
      <c r="E39" s="15">
        <f>(100-D39)/100</f>
        <v/>
      </c>
      <c r="F39" s="24" t="n">
        <v>5.83</v>
      </c>
      <c r="G39" s="12" t="n">
        <v>0.0449944</v>
      </c>
      <c r="H39" s="24" t="n">
        <v>-0.056</v>
      </c>
      <c r="I39" s="25" t="n">
        <v>148421</v>
      </c>
    </row>
    <row r="40">
      <c r="A40" s="14" t="inlineStr">
        <is>
          <t>SR3 DEC 30</t>
        </is>
      </c>
      <c r="B40" s="10" t="n">
        <v>47835</v>
      </c>
      <c r="C40" s="10" t="n">
        <v>47926</v>
      </c>
      <c r="D40" s="23" t="n">
        <v>95.485</v>
      </c>
      <c r="E40" s="15">
        <f>(100-D40)/100</f>
        <v/>
      </c>
      <c r="F40" s="24" t="n">
        <v>6.53</v>
      </c>
      <c r="G40" s="12" t="n">
        <v>0.0451554</v>
      </c>
      <c r="H40" s="24" t="n">
        <v>0.054</v>
      </c>
      <c r="I40" s="25" t="n">
        <v>116344</v>
      </c>
    </row>
    <row r="41">
      <c r="A41" s="14" t="inlineStr">
        <is>
          <t>SR3 MAR 31</t>
        </is>
      </c>
      <c r="B41" s="10" t="n">
        <v>47926</v>
      </c>
      <c r="C41" s="10" t="n">
        <v>48017</v>
      </c>
      <c r="D41" s="23" t="n">
        <v>95.45999999999999</v>
      </c>
      <c r="E41" s="15">
        <f>(100-D41)/100</f>
        <v/>
      </c>
      <c r="F41" s="24" t="n">
        <v>7.26</v>
      </c>
      <c r="G41" s="12" t="n">
        <v>0.0453944</v>
      </c>
      <c r="H41" s="24" t="n">
        <v>-0.056</v>
      </c>
      <c r="I41" s="25" t="n">
        <v>87263</v>
      </c>
    </row>
    <row r="42">
      <c r="A42" s="14" t="inlineStr">
        <is>
          <t>SR3 JUN 31</t>
        </is>
      </c>
      <c r="B42" s="10" t="n">
        <v>48017</v>
      </c>
      <c r="C42" s="10" t="n">
        <v>48108</v>
      </c>
      <c r="D42" s="23" t="n">
        <v>95.435</v>
      </c>
      <c r="E42" s="15">
        <f>(100-D42)/100</f>
        <v/>
      </c>
      <c r="F42" s="24" t="n">
        <v>8.02</v>
      </c>
      <c r="G42" s="12" t="n">
        <v>0.0456562</v>
      </c>
      <c r="H42" s="24" t="n">
        <v>0.062</v>
      </c>
      <c r="I42" s="25" t="n">
        <v>72512</v>
      </c>
    </row>
    <row r="43">
      <c r="A43" s="14" t="inlineStr">
        <is>
          <t>SR3 SEP 31</t>
        </is>
      </c>
      <c r="B43" s="10" t="n">
        <v>48108</v>
      </c>
      <c r="C43" s="10" t="n">
        <v>48199</v>
      </c>
      <c r="D43" s="23" t="n">
        <v>95.40000000000001</v>
      </c>
      <c r="E43" s="15">
        <f>(100-D43)/100</f>
        <v/>
      </c>
      <c r="F43" s="24" t="n">
        <v>8.82</v>
      </c>
      <c r="G43" s="12" t="n">
        <v>0.045995</v>
      </c>
      <c r="H43" s="24" t="n">
        <v>-0.05</v>
      </c>
      <c r="I43" s="25" t="n">
        <v>38592</v>
      </c>
    </row>
    <row r="44">
      <c r="A44" s="14" t="inlineStr">
        <is>
          <t>SR3 DEC 31</t>
        </is>
      </c>
      <c r="B44" s="10" t="n">
        <v>48199</v>
      </c>
      <c r="C44" s="10" t="n">
        <v>48290</v>
      </c>
      <c r="D44" s="23" t="n">
        <v>95.37</v>
      </c>
      <c r="E44" s="15">
        <f>(100-D44)/100</f>
        <v/>
      </c>
      <c r="F44" s="24" t="n">
        <v>9.640000000000001</v>
      </c>
      <c r="G44" s="12" t="n">
        <v>0.0463023</v>
      </c>
      <c r="H44" s="24" t="n">
        <v>0.023</v>
      </c>
      <c r="I44" s="25" t="n">
        <v>7219</v>
      </c>
    </row>
    <row r="45">
      <c r="A45" s="14" t="inlineStr">
        <is>
          <t>SR3 MAR 32</t>
        </is>
      </c>
      <c r="B45" s="10" t="n">
        <v>48290</v>
      </c>
      <c r="C45" s="10" t="n">
        <v>48381</v>
      </c>
      <c r="D45" s="23" t="n">
        <v>95.34</v>
      </c>
      <c r="E45" s="15">
        <f>(100-D45)/100</f>
        <v/>
      </c>
      <c r="F45" s="24" t="n">
        <v>10.5</v>
      </c>
      <c r="G45" s="12" t="n">
        <v>0.046599</v>
      </c>
      <c r="H45" s="24" t="n">
        <v>-0.01</v>
      </c>
      <c r="I45" s="25" t="n">
        <v>2675</v>
      </c>
    </row>
    <row r="46">
      <c r="A46" s="14" t="inlineStr">
        <is>
          <t>SR3 JUN 32</t>
        </is>
      </c>
      <c r="B46" s="10" t="n">
        <v>48381</v>
      </c>
      <c r="C46" s="10" t="n">
        <v>48472</v>
      </c>
      <c r="D46" s="23" t="n">
        <v>95.31</v>
      </c>
      <c r="E46" s="15">
        <f>(100-D46)/100</f>
        <v/>
      </c>
      <c r="F46" s="24" t="n">
        <v>11.39</v>
      </c>
      <c r="G46" s="12" t="n">
        <v>0.046902</v>
      </c>
      <c r="H46" s="24" t="n">
        <v>0.02</v>
      </c>
      <c r="I46" s="25" t="n">
        <v>905</v>
      </c>
    </row>
    <row r="47">
      <c r="A47" s="14" t="inlineStr">
        <is>
          <t>SR3 SEP 32</t>
        </is>
      </c>
      <c r="B47" s="10" t="n">
        <v>48472</v>
      </c>
      <c r="C47" s="10" t="n">
        <v>48563</v>
      </c>
      <c r="D47" s="23" t="n">
        <v>95.28</v>
      </c>
      <c r="E47" s="15">
        <f>(100-D47)/100</f>
        <v/>
      </c>
      <c r="F47" s="24" t="n">
        <v>12.3</v>
      </c>
      <c r="G47" s="12" t="n">
        <v>0.04719599999999999</v>
      </c>
      <c r="H47" s="24" t="n">
        <v>-0.04</v>
      </c>
      <c r="I47" s="25" t="n">
        <v>574</v>
      </c>
    </row>
    <row r="48">
      <c r="A48" s="14" t="inlineStr">
        <is>
          <t>SR3 DEC 32</t>
        </is>
      </c>
      <c r="B48" s="10" t="n">
        <v>48563</v>
      </c>
      <c r="C48" s="10" t="n">
        <v>48654</v>
      </c>
      <c r="D48" s="23" t="n">
        <v>95.255</v>
      </c>
      <c r="E48" s="15">
        <f>(100-D48)/100</f>
        <v/>
      </c>
      <c r="F48" s="24" t="n">
        <v>13.24</v>
      </c>
      <c r="G48" s="12" t="n">
        <v>0.0474555</v>
      </c>
      <c r="H48" s="24" t="n">
        <v>0.055</v>
      </c>
      <c r="I48" s="25" t="n">
        <v>164</v>
      </c>
    </row>
    <row r="49">
      <c r="A49" s="14" t="inlineStr">
        <is>
          <t>SR3 MAR 33</t>
        </is>
      </c>
      <c r="B49" s="10" t="n">
        <v>48654</v>
      </c>
      <c r="C49" s="10" t="n">
        <v>48745</v>
      </c>
      <c r="D49" s="23" t="n">
        <v>95.22499999999999</v>
      </c>
      <c r="E49" s="15">
        <f>(100-D49)/100</f>
        <v/>
      </c>
      <c r="F49" s="24" t="n">
        <v>14.21</v>
      </c>
      <c r="G49" s="12" t="n">
        <v>0.0477449</v>
      </c>
      <c r="H49" s="24" t="n">
        <v>-0.051</v>
      </c>
      <c r="I49" s="25" t="n">
        <v>35</v>
      </c>
    </row>
    <row r="50">
      <c r="A50" s="14" t="inlineStr">
        <is>
          <t>SR3 JUN 33</t>
        </is>
      </c>
      <c r="B50" s="10" t="n">
        <v>48745</v>
      </c>
      <c r="C50" s="10" t="n">
        <v>48843</v>
      </c>
      <c r="D50" s="23" t="n">
        <v>95.2</v>
      </c>
      <c r="E50" s="15">
        <f>(100-D50)/100</f>
        <v/>
      </c>
      <c r="F50" s="24" t="n">
        <v>15.25</v>
      </c>
      <c r="G50" s="12" t="n">
        <v>0.0480016</v>
      </c>
      <c r="H50" s="24" t="n">
        <v>0.016</v>
      </c>
      <c r="I50" s="25" t="n">
        <v>1</v>
      </c>
    </row>
    <row r="51">
      <c r="A51" s="14" t="inlineStr">
        <is>
          <t>SR3 SEP 33</t>
        </is>
      </c>
      <c r="B51" s="10" t="n">
        <v>48843</v>
      </c>
      <c r="C51" s="10" t="n">
        <v>48934</v>
      </c>
      <c r="D51" s="23" t="n">
        <v>95.175</v>
      </c>
      <c r="E51" s="15">
        <f>(100-D51)/100</f>
        <v/>
      </c>
      <c r="F51" s="24" t="n">
        <v>16.31</v>
      </c>
      <c r="G51" s="12" t="n">
        <v>0.0482563</v>
      </c>
      <c r="H51" s="24" t="n">
        <v>0.063</v>
      </c>
      <c r="I51" s="25" t="n">
        <v>0</v>
      </c>
    </row>
    <row r="52">
      <c r="A52" s="14" t="inlineStr">
        <is>
          <t>SR3 DEC 33</t>
        </is>
      </c>
      <c r="B52" s="10" t="n">
        <v>48934</v>
      </c>
      <c r="C52" s="10" t="n">
        <v>49018</v>
      </c>
      <c r="D52" s="23" t="n">
        <v>95.15000000000001</v>
      </c>
      <c r="E52" s="15">
        <f>(100-D52)/100</f>
        <v/>
      </c>
      <c r="F52" s="24" t="n">
        <v>17.32</v>
      </c>
      <c r="G52" s="12" t="n">
        <v>0.048484</v>
      </c>
      <c r="H52" s="24" t="n">
        <v>-0.16</v>
      </c>
      <c r="I52" s="25" t="n">
        <v>11</v>
      </c>
    </row>
    <row r="53">
      <c r="A53" s="14" t="inlineStr">
        <is>
          <t>SR3 MAR 34</t>
        </is>
      </c>
      <c r="B53" s="10" t="n">
        <v>49018</v>
      </c>
      <c r="C53" s="10" t="n">
        <v>49116</v>
      </c>
      <c r="D53" s="23" t="n">
        <v>95.13500000000001</v>
      </c>
      <c r="E53" s="15">
        <f>(100-D53)/100</f>
        <v/>
      </c>
      <c r="F53" s="24" t="n">
        <v>18.4</v>
      </c>
      <c r="G53" s="12" t="n">
        <v>0.04867270000000001</v>
      </c>
      <c r="H53" s="24" t="n">
        <v>0.227</v>
      </c>
      <c r="I53" s="25" t="n">
        <v>0</v>
      </c>
    </row>
    <row r="54">
      <c r="A54" s="14" t="inlineStr">
        <is>
          <t>SR3 JUN 34</t>
        </is>
      </c>
      <c r="B54" s="10" t="n">
        <v>49116</v>
      </c>
      <c r="C54" s="10" t="n">
        <v>49207</v>
      </c>
      <c r="D54" s="23" t="n">
        <v>95.105</v>
      </c>
      <c r="E54" s="15">
        <f>(100-D54)/100</f>
        <v/>
      </c>
      <c r="F54" s="24" t="n">
        <v>19.54</v>
      </c>
      <c r="G54" s="12" t="n">
        <v>0.0489215</v>
      </c>
      <c r="H54" s="24" t="n">
        <v>-0.285</v>
      </c>
      <c r="I54" s="25" t="n">
        <v>0</v>
      </c>
    </row>
    <row r="55">
      <c r="A55" s="14" t="inlineStr">
        <is>
          <t>SR3 SEP 34</t>
        </is>
      </c>
      <c r="B55" s="10" t="n">
        <v>49207</v>
      </c>
      <c r="C55" s="10" t="n">
        <v>49298</v>
      </c>
      <c r="D55" s="23" t="n">
        <v>95.095</v>
      </c>
      <c r="E55" s="15">
        <f>(100-D55)/100</f>
        <v/>
      </c>
      <c r="F55" s="24" t="n">
        <v>20.66</v>
      </c>
      <c r="G55" s="12" t="n">
        <v>0.04908369999999999</v>
      </c>
      <c r="H55" s="24" t="n">
        <v>0.337</v>
      </c>
      <c r="I55" s="25" t="n">
        <v>0</v>
      </c>
    </row>
    <row r="56">
      <c r="A56" s="14" t="inlineStr">
        <is>
          <t>SR3 DEC 34</t>
        </is>
      </c>
      <c r="B56" s="10" t="n">
        <v>49298</v>
      </c>
      <c r="C56" s="10" t="n">
        <v>49389</v>
      </c>
      <c r="D56" s="23" t="n">
        <v>95.05</v>
      </c>
      <c r="E56" s="15">
        <f>(100-D56)/100</f>
        <v/>
      </c>
      <c r="F56" s="24" t="n">
        <v>21.8</v>
      </c>
      <c r="G56" s="12" t="n">
        <v>0.0494686</v>
      </c>
      <c r="H56" s="24" t="n">
        <v>-0.314</v>
      </c>
      <c r="I56" s="25" t="n">
        <v>0</v>
      </c>
    </row>
    <row r="57">
      <c r="A57" s="14" t="inlineStr">
        <is>
          <t>SR3 MAR 35</t>
        </is>
      </c>
      <c r="B57" s="10" t="n">
        <v>49389</v>
      </c>
      <c r="C57" s="10" t="n">
        <v>49480</v>
      </c>
      <c r="D57" s="23" t="n">
        <v>95.04000000000001</v>
      </c>
      <c r="E57" s="15">
        <f>(100-D57)/100</f>
        <v/>
      </c>
      <c r="F57" s="24" t="n">
        <v>22.97</v>
      </c>
      <c r="G57" s="12" t="n">
        <v>0.0496218</v>
      </c>
      <c r="H57" s="24" t="n">
        <v>0.218</v>
      </c>
      <c r="I57" s="25" t="n">
        <v>0</v>
      </c>
    </row>
    <row r="58">
      <c r="A58" s="14" t="inlineStr">
        <is>
          <t>SR3 JUN 35</t>
        </is>
      </c>
      <c r="B58" s="10" t="n">
        <v>49480</v>
      </c>
      <c r="C58" s="10" t="n">
        <v>49571</v>
      </c>
      <c r="D58" s="23" t="n">
        <v>95.015</v>
      </c>
      <c r="E58" s="15">
        <f>(100-D58)/100</f>
        <v/>
      </c>
      <c r="F58" s="24" t="n">
        <v>24.16</v>
      </c>
      <c r="G58" s="12" t="n">
        <v>0.0498342</v>
      </c>
      <c r="H58" s="24" t="n">
        <v>-0.158</v>
      </c>
      <c r="I58" s="25" t="n">
        <v>0</v>
      </c>
    </row>
    <row r="59">
      <c r="A59" s="14" t="inlineStr">
        <is>
          <t>SR3 SEP 35</t>
        </is>
      </c>
      <c r="B59" s="10" t="n">
        <v>49571</v>
      </c>
      <c r="C59" s="10" t="n">
        <v>49662</v>
      </c>
      <c r="D59" s="23" t="n">
        <v>94.98999999999999</v>
      </c>
      <c r="E59" s="15">
        <f>(100-D59)/100</f>
        <v/>
      </c>
      <c r="F59" s="24" t="n">
        <v>25.37</v>
      </c>
      <c r="G59" s="12" t="n">
        <v>0.0501187</v>
      </c>
      <c r="H59" s="24" t="n">
        <v>0.187</v>
      </c>
      <c r="I59" s="25" t="n">
        <v>0</v>
      </c>
    </row>
    <row r="60">
      <c r="A60" s="14" t="inlineStr">
        <is>
          <t>SR3 DEC 35</t>
        </is>
      </c>
      <c r="B60" s="10" t="n">
        <v>49662</v>
      </c>
      <c r="C60" s="10" t="n">
        <v>49753</v>
      </c>
      <c r="D60" s="23" t="n">
        <v>94.94499999999999</v>
      </c>
      <c r="E60" s="15">
        <f>(100-D60)/100</f>
        <v/>
      </c>
      <c r="F60" s="24" t="n">
        <v>26.6</v>
      </c>
      <c r="G60" s="12" t="n">
        <v>0.0505333</v>
      </c>
      <c r="H60" s="24" t="n">
        <v>-0.167</v>
      </c>
      <c r="I60" s="25" t="n">
        <v>0</v>
      </c>
    </row>
    <row r="61">
      <c r="A61" s="14" t="inlineStr">
        <is>
          <t>SR3 MAR 36</t>
        </is>
      </c>
      <c r="B61" s="10" t="n">
        <v>49753</v>
      </c>
      <c r="C61" s="10" t="n">
        <v>49844</v>
      </c>
      <c r="D61" s="23" t="n">
        <v>94.935</v>
      </c>
      <c r="E61" s="15">
        <f>(100-D61)/100</f>
        <v/>
      </c>
      <c r="F61" s="24" t="n">
        <v>27.85</v>
      </c>
      <c r="G61" s="12" t="n">
        <v>0.0506558</v>
      </c>
      <c r="H61" s="24" t="n">
        <v>0.058</v>
      </c>
      <c r="I61" s="25" t="n">
        <v>0</v>
      </c>
    </row>
    <row r="63">
      <c r="A63" s="5" t="inlineStr">
        <is>
          <t>Fit: 58 contracts, RMS residual 0.184 bp, max 0.48 bp. Residual = model futures rate - market rate. Source: CME Group daily settlements (SR3, SR1).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2" t="inlineStr">
        <is>
          <t>Published SOFR used for elapsed days (source: Federal Reserve Bank of New York)</t>
        </is>
      </c>
    </row>
    <row r="3" ht="30" customHeight="1">
      <c r="A3" s="9" t="inlineStr">
        <is>
          <t>Date</t>
        </is>
      </c>
      <c r="B3" s="9" t="inlineStr">
        <is>
          <t>SOFR</t>
        </is>
      </c>
    </row>
    <row r="4">
      <c r="A4" s="3" t="n">
        <v>46317</v>
      </c>
      <c r="B4" s="26" t="n">
        <v>0.039</v>
      </c>
    </row>
    <row r="5">
      <c r="A5" s="3" t="n">
        <v>46316</v>
      </c>
      <c r="B5" s="26" t="n">
        <v>0.0388</v>
      </c>
    </row>
    <row r="6">
      <c r="A6" s="3" t="n">
        <v>46315</v>
      </c>
      <c r="B6" s="26" t="n">
        <v>0.0388</v>
      </c>
    </row>
    <row r="7">
      <c r="A7" s="3" t="n">
        <v>46314</v>
      </c>
      <c r="B7" s="26" t="n">
        <v>0.0387</v>
      </c>
    </row>
    <row r="8">
      <c r="A8" s="3" t="n">
        <v>46311</v>
      </c>
      <c r="B8" s="26" t="n">
        <v>0.0388</v>
      </c>
    </row>
    <row r="9">
      <c r="A9" s="3" t="n">
        <v>46310</v>
      </c>
      <c r="B9" s="26" t="n">
        <v>0.0389</v>
      </c>
    </row>
    <row r="10">
      <c r="A10" s="3" t="n">
        <v>46309</v>
      </c>
      <c r="B10" s="26" t="n">
        <v>0.0388</v>
      </c>
    </row>
    <row r="11">
      <c r="A11" s="3" t="n">
        <v>46308</v>
      </c>
      <c r="B11" s="26" t="n">
        <v>0.0389</v>
      </c>
    </row>
    <row r="12">
      <c r="A12" s="3" t="n">
        <v>46304</v>
      </c>
      <c r="B12" s="26" t="n">
        <v>0.0387</v>
      </c>
    </row>
    <row r="13">
      <c r="A13" s="3" t="n">
        <v>46303</v>
      </c>
      <c r="B13" s="26" t="n">
        <v>0.0387</v>
      </c>
    </row>
    <row r="14">
      <c r="A14" s="3" t="n">
        <v>46302</v>
      </c>
      <c r="B14" s="26" t="n">
        <v>0.0388</v>
      </c>
    </row>
    <row r="15">
      <c r="A15" s="3" t="n">
        <v>46301</v>
      </c>
      <c r="B15" s="26" t="n">
        <v>0.039</v>
      </c>
    </row>
    <row r="16">
      <c r="A16" s="3" t="n">
        <v>46300</v>
      </c>
      <c r="B16" s="26" t="n">
        <v>0.0389</v>
      </c>
    </row>
    <row r="17">
      <c r="A17" s="3" t="n">
        <v>46297</v>
      </c>
      <c r="B17" s="26" t="n">
        <v>0.0388</v>
      </c>
    </row>
    <row r="18">
      <c r="A18" s="3" t="n">
        <v>46296</v>
      </c>
      <c r="B18" s="26" t="n">
        <v>0.0387</v>
      </c>
    </row>
    <row r="19">
      <c r="A19" s="3" t="n">
        <v>46295</v>
      </c>
      <c r="B19" s="26" t="n">
        <v>0.039</v>
      </c>
    </row>
    <row r="20">
      <c r="A20" s="3" t="n">
        <v>46294</v>
      </c>
      <c r="B20" s="26" t="n">
        <v>0.0388</v>
      </c>
    </row>
    <row r="21">
      <c r="A21" s="3" t="n">
        <v>46293</v>
      </c>
      <c r="B21" s="26" t="n">
        <v>0.039</v>
      </c>
    </row>
    <row r="22">
      <c r="A22" s="3" t="n">
        <v>46290</v>
      </c>
      <c r="B22" s="26" t="n">
        <v>0.039</v>
      </c>
    </row>
    <row r="23">
      <c r="A23" s="3" t="n">
        <v>46289</v>
      </c>
      <c r="B23" s="26" t="n">
        <v>0.0388</v>
      </c>
    </row>
    <row r="24">
      <c r="A24" s="3" t="n">
        <v>46288</v>
      </c>
      <c r="B24" s="26" t="n">
        <v>0.0387</v>
      </c>
    </row>
    <row r="25">
      <c r="A25" s="3" t="n">
        <v>46287</v>
      </c>
      <c r="B25" s="26" t="n">
        <v>0.0387</v>
      </c>
    </row>
    <row r="26">
      <c r="A26" s="3" t="n">
        <v>46286</v>
      </c>
      <c r="B26" s="26" t="n">
        <v>0.0385</v>
      </c>
    </row>
    <row r="27">
      <c r="A27" s="3" t="n">
        <v>46283</v>
      </c>
      <c r="B27" s="26" t="n">
        <v>0.0385</v>
      </c>
    </row>
    <row r="28">
      <c r="A28" s="3" t="n">
        <v>46282</v>
      </c>
      <c r="B28" s="26" t="n">
        <v>0.0385</v>
      </c>
    </row>
    <row r="29">
      <c r="A29" s="3" t="n">
        <v>46281</v>
      </c>
      <c r="B29" s="26" t="n">
        <v>0.0362</v>
      </c>
    </row>
    <row r="30">
      <c r="A30" s="3" t="n">
        <v>46280</v>
      </c>
      <c r="B30" s="26" t="n">
        <v>0.0364</v>
      </c>
    </row>
    <row r="31">
      <c r="A31" s="3" t="n">
        <v>46279</v>
      </c>
      <c r="B31" s="26" t="n">
        <v>0.0362</v>
      </c>
    </row>
    <row r="32">
      <c r="A32" s="3" t="n">
        <v>46276</v>
      </c>
      <c r="B32" s="26" t="n">
        <v>0.0362</v>
      </c>
    </row>
    <row r="33">
      <c r="A33" s="3" t="n">
        <v>46275</v>
      </c>
      <c r="B33" s="26" t="n">
        <v>0.0362</v>
      </c>
    </row>
    <row r="34">
      <c r="A34" s="3" t="n">
        <v>46274</v>
      </c>
      <c r="B34" s="26" t="n">
        <v>0.0364</v>
      </c>
    </row>
    <row r="35">
      <c r="A35" s="3" t="n">
        <v>46273</v>
      </c>
      <c r="B35" s="26" t="n">
        <v>0.0364</v>
      </c>
    </row>
    <row r="36">
      <c r="A36" s="3" t="n">
        <v>46269</v>
      </c>
      <c r="B36" s="26" t="n">
        <v>0.0365</v>
      </c>
    </row>
    <row r="37">
      <c r="A37" s="3" t="n">
        <v>46268</v>
      </c>
      <c r="B37" s="26" t="n">
        <v>0.0366</v>
      </c>
    </row>
    <row r="38">
      <c r="A38" s="3" t="n">
        <v>46267</v>
      </c>
      <c r="B38" s="26" t="n">
        <v>0.0365</v>
      </c>
    </row>
    <row r="39">
      <c r="A39" s="3" t="n">
        <v>46266</v>
      </c>
      <c r="B39" s="26" t="n">
        <v>0.0366</v>
      </c>
    </row>
    <row r="40">
      <c r="A40" s="3" t="n">
        <v>46265</v>
      </c>
      <c r="B40" s="26" t="n">
        <v>0.0368</v>
      </c>
    </row>
    <row r="41">
      <c r="A41" s="3" t="n">
        <v>46262</v>
      </c>
      <c r="B41" s="26" t="n">
        <v>0.0365</v>
      </c>
    </row>
    <row r="42">
      <c r="A42" s="3" t="n">
        <v>46261</v>
      </c>
      <c r="B42" s="26" t="n">
        <v>0.0364</v>
      </c>
    </row>
    <row r="43">
      <c r="A43" s="3" t="n">
        <v>46260</v>
      </c>
      <c r="B43" s="26" t="n">
        <v>0.0364</v>
      </c>
    </row>
    <row r="44">
      <c r="A44" s="3" t="n">
        <v>46259</v>
      </c>
      <c r="B44" s="26" t="n">
        <v>0.0366</v>
      </c>
    </row>
    <row r="45">
      <c r="A45" s="3" t="n">
        <v>46258</v>
      </c>
      <c r="B45" s="26" t="n">
        <v>0.0365</v>
      </c>
    </row>
    <row r="46">
      <c r="A46" s="3" t="n">
        <v>46255</v>
      </c>
      <c r="B46" s="26" t="n">
        <v>0.0365</v>
      </c>
    </row>
    <row r="47">
      <c r="A47" s="3" t="n">
        <v>46254</v>
      </c>
      <c r="B47" s="26" t="n">
        <v>0.0363</v>
      </c>
    </row>
    <row r="48">
      <c r="A48" s="3" t="n">
        <v>46253</v>
      </c>
      <c r="B48" s="26" t="n">
        <v>0.0362</v>
      </c>
    </row>
    <row r="49">
      <c r="A49" s="3" t="n">
        <v>46252</v>
      </c>
      <c r="B49" s="26" t="n">
        <v>0.0365</v>
      </c>
    </row>
    <row r="50">
      <c r="A50" s="3" t="n">
        <v>46251</v>
      </c>
      <c r="B50" s="26" t="n">
        <v>0.0366</v>
      </c>
    </row>
    <row r="51">
      <c r="A51" s="3" t="n">
        <v>46248</v>
      </c>
      <c r="B51" s="26" t="n">
        <v>0.0362</v>
      </c>
    </row>
    <row r="52">
      <c r="A52" s="3" t="n">
        <v>46247</v>
      </c>
      <c r="B52" s="26" t="n">
        <v>0.0362</v>
      </c>
    </row>
    <row r="53">
      <c r="A53" s="3" t="n">
        <v>46246</v>
      </c>
      <c r="B53" s="26" t="n">
        <v>0.0362</v>
      </c>
    </row>
    <row r="54">
      <c r="A54" s="3" t="n">
        <v>46245</v>
      </c>
      <c r="B54" s="26" t="n">
        <v>0.0364</v>
      </c>
    </row>
    <row r="55">
      <c r="A55" s="3" t="n">
        <v>46244</v>
      </c>
      <c r="B55" s="26" t="n">
        <v>0.0363</v>
      </c>
    </row>
    <row r="56">
      <c r="A56" s="3" t="n">
        <v>46241</v>
      </c>
      <c r="B56" s="26" t="n">
        <v>0.0362</v>
      </c>
    </row>
    <row r="57">
      <c r="A57" s="3" t="n">
        <v>46240</v>
      </c>
      <c r="B57" s="26" t="n">
        <v>0.0365</v>
      </c>
    </row>
    <row r="58">
      <c r="A58" s="3" t="n">
        <v>46239</v>
      </c>
      <c r="B58" s="26" t="n">
        <v>0.0364</v>
      </c>
    </row>
    <row r="59">
      <c r="A59" s="3" t="n">
        <v>46238</v>
      </c>
      <c r="B59" s="26" t="n">
        <v>0.0366</v>
      </c>
    </row>
    <row r="60">
      <c r="A60" s="3" t="n">
        <v>46237</v>
      </c>
      <c r="B60" s="26" t="n">
        <v>0.0365</v>
      </c>
    </row>
    <row r="61">
      <c r="A61" s="3" t="n">
        <v>46234</v>
      </c>
      <c r="B61" s="26" t="n">
        <v>0.0366</v>
      </c>
    </row>
    <row r="62">
      <c r="A62" s="3" t="n">
        <v>46233</v>
      </c>
      <c r="B62" s="26" t="n">
        <v>0.0365</v>
      </c>
    </row>
    <row r="63">
      <c r="A63" s="3" t="n">
        <v>46232</v>
      </c>
      <c r="B63" s="26" t="n">
        <v>0.0365</v>
      </c>
    </row>
    <row r="64">
      <c r="A64" s="3" t="n">
        <v>46231</v>
      </c>
      <c r="B64" s="26" t="n">
        <v>0.0365</v>
      </c>
    </row>
    <row r="65">
      <c r="A65" s="3" t="n">
        <v>46230</v>
      </c>
      <c r="B65" s="26" t="n">
        <v>0.0364</v>
      </c>
    </row>
    <row r="66">
      <c r="A66" s="3" t="n">
        <v>46227</v>
      </c>
      <c r="B66" s="26" t="n">
        <v>0.0364</v>
      </c>
    </row>
    <row r="67">
      <c r="A67" s="3" t="n">
        <v>46226</v>
      </c>
      <c r="B67" s="26" t="n">
        <v>0.0364</v>
      </c>
    </row>
    <row r="68">
      <c r="A68" s="3" t="n">
        <v>46225</v>
      </c>
      <c r="B68" s="26" t="n">
        <v>0.0362</v>
      </c>
    </row>
    <row r="69">
      <c r="A69" s="3" t="n">
        <v>46224</v>
      </c>
      <c r="B69" s="26" t="n">
        <v>0.0361</v>
      </c>
    </row>
    <row r="70">
      <c r="A70" s="3" t="n">
        <v>46223</v>
      </c>
      <c r="B70" s="26" t="n">
        <v>0.0357</v>
      </c>
    </row>
    <row r="71">
      <c r="A71" s="3" t="n">
        <v>46220</v>
      </c>
      <c r="B71" s="26" t="n">
        <v>0.0359</v>
      </c>
    </row>
    <row r="72">
      <c r="A72" s="3" t="n">
        <v>46219</v>
      </c>
      <c r="B72" s="26" t="n">
        <v>0.0362</v>
      </c>
    </row>
    <row r="73">
      <c r="A73" s="3" t="n">
        <v>46218</v>
      </c>
      <c r="B73" s="26" t="n">
        <v>0.0364</v>
      </c>
    </row>
    <row r="74">
      <c r="A74" s="3" t="n">
        <v>46217</v>
      </c>
      <c r="B74" s="26" t="n">
        <v>0.0363</v>
      </c>
    </row>
    <row r="75">
      <c r="A75" s="3" t="n">
        <v>46216</v>
      </c>
      <c r="B75" s="26" t="n">
        <v>0.036</v>
      </c>
    </row>
    <row r="76">
      <c r="A76" s="3" t="n">
        <v>46213</v>
      </c>
      <c r="B76" s="26" t="n">
        <v>0.0355</v>
      </c>
    </row>
    <row r="77">
      <c r="A77" s="3" t="n">
        <v>46212</v>
      </c>
      <c r="B77" s="26" t="n">
        <v>0.0353</v>
      </c>
    </row>
    <row r="78">
      <c r="A78" s="3" t="n">
        <v>46211</v>
      </c>
      <c r="B78" s="26" t="n">
        <v>0.0358</v>
      </c>
    </row>
    <row r="79">
      <c r="A79" s="3" t="n">
        <v>46210</v>
      </c>
      <c r="B79" s="26" t="n">
        <v>0.0362</v>
      </c>
    </row>
    <row r="80">
      <c r="A80" s="3" t="n">
        <v>46209</v>
      </c>
      <c r="B80" s="26" t="n">
        <v>0.0363</v>
      </c>
    </row>
    <row r="81">
      <c r="A81" s="3" t="n">
        <v>46205</v>
      </c>
      <c r="B81" s="26" t="n">
        <v>0.0364</v>
      </c>
    </row>
    <row r="82">
      <c r="A82" s="3" t="n">
        <v>46204</v>
      </c>
      <c r="B82" s="26" t="n">
        <v>0.0366</v>
      </c>
    </row>
    <row r="83">
      <c r="A83" s="3" t="n">
        <v>46203</v>
      </c>
      <c r="B83" s="26" t="n">
        <v>0.0368</v>
      </c>
    </row>
    <row r="84">
      <c r="A84" s="3" t="n">
        <v>46202</v>
      </c>
      <c r="B84" s="26" t="n">
        <v>0.0362</v>
      </c>
    </row>
    <row r="85">
      <c r="A85" s="3" t="n">
        <v>46199</v>
      </c>
      <c r="B85" s="26" t="n">
        <v>0.0362</v>
      </c>
    </row>
    <row r="86">
      <c r="A86" s="3" t="n">
        <v>46198</v>
      </c>
      <c r="B86" s="26" t="n">
        <v>0.0364</v>
      </c>
    </row>
    <row r="87">
      <c r="A87" s="3" t="n">
        <v>46197</v>
      </c>
      <c r="B87" s="26" t="n">
        <v>0.0362</v>
      </c>
    </row>
    <row r="88">
      <c r="A88" s="3" t="n">
        <v>46196</v>
      </c>
      <c r="B88" s="26" t="n">
        <v>0.0362</v>
      </c>
    </row>
    <row r="89">
      <c r="A89" s="3" t="n">
        <v>46195</v>
      </c>
      <c r="B89" s="26" t="n">
        <v>0.0361</v>
      </c>
    </row>
    <row r="90">
      <c r="A90" s="3" t="n">
        <v>46191</v>
      </c>
      <c r="B90" s="26" t="n">
        <v>0.0362</v>
      </c>
    </row>
    <row r="91">
      <c r="A91" s="3" t="n">
        <v>46190</v>
      </c>
      <c r="B91" s="26" t="n">
        <v>0.0363</v>
      </c>
    </row>
    <row r="92">
      <c r="A92" s="3" t="n">
        <v>46189</v>
      </c>
      <c r="B92" s="26" t="n">
        <v>0.0363</v>
      </c>
    </row>
    <row r="93">
      <c r="A93" s="3" t="n">
        <v>46188</v>
      </c>
      <c r="B93" s="26" t="n">
        <v>0.0369</v>
      </c>
    </row>
    <row r="94">
      <c r="A94" s="3" t="n">
        <v>46185</v>
      </c>
      <c r="B94" s="26" t="n">
        <v>0.0365</v>
      </c>
    </row>
    <row r="95">
      <c r="A95" s="3" t="n">
        <v>46184</v>
      </c>
      <c r="B95" s="26" t="n">
        <v>0.036</v>
      </c>
    </row>
    <row r="96">
      <c r="A96" s="3" t="n">
        <v>46183</v>
      </c>
      <c r="B96" s="26" t="n">
        <v>0.0359</v>
      </c>
    </row>
    <row r="97">
      <c r="A97" s="3" t="n">
        <v>46182</v>
      </c>
      <c r="B97" s="26" t="n">
        <v>0.036</v>
      </c>
    </row>
    <row r="98">
      <c r="A98" s="3" t="n">
        <v>46181</v>
      </c>
      <c r="B98" s="26" t="n">
        <v>0.0363</v>
      </c>
    </row>
    <row r="99">
      <c r="A99" s="3" t="n">
        <v>46178</v>
      </c>
      <c r="B99" s="26" t="n">
        <v>0.0363</v>
      </c>
    </row>
    <row r="100">
      <c r="A100" s="3" t="n">
        <v>46177</v>
      </c>
      <c r="B100" s="26" t="n">
        <v>0.0362</v>
      </c>
    </row>
    <row r="101">
      <c r="A101" s="3" t="n">
        <v>46176</v>
      </c>
      <c r="B101" s="26" t="n">
        <v>0.0361</v>
      </c>
    </row>
    <row r="102">
      <c r="A102" s="3" t="n">
        <v>46175</v>
      </c>
      <c r="B102" s="26" t="n">
        <v>0.0363</v>
      </c>
    </row>
    <row r="103">
      <c r="A103" s="3" t="n">
        <v>46174</v>
      </c>
      <c r="B103" s="26" t="n">
        <v>0.0365</v>
      </c>
    </row>
    <row r="104">
      <c r="A104" s="3" t="n">
        <v>46171</v>
      </c>
      <c r="B104" s="26" t="n">
        <v>0.0363</v>
      </c>
    </row>
    <row r="105">
      <c r="A105" s="3" t="n">
        <v>46170</v>
      </c>
      <c r="B105" s="26" t="n">
        <v>0.0362</v>
      </c>
    </row>
    <row r="106">
      <c r="A106" s="3" t="n">
        <v>46169</v>
      </c>
      <c r="B106" s="26" t="n">
        <v>0.0363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7" t="inlineStr">
        <is>
          <t>Methodology</t>
        </is>
      </c>
    </row>
    <row r="2">
      <c r="A2" s="28" t="inlineStr">
        <is>
          <t>Inputs: CME Three-Month (SR3) and One-Month (SR1) SOFR futures daily settlements; NY Fed SOFR fixings.</t>
        </is>
      </c>
    </row>
    <row r="3">
      <c r="A3" s="28" t="inlineStr">
        <is>
          <t>SR1 settles on the calendar-day average of SOFR in its month; SR3 on business-day compounded SOFR from the 3rd Wednesday of its named month to the 3rd Wednesday three months later.</t>
        </is>
      </c>
    </row>
    <row r="4">
      <c r="A4" s="28" t="inlineStr">
        <is>
          <t>Front end: overnight SOFR is constant between FOMC decision dates (rate changes effective the day after), the same step structure CME uses for Term SOFR. Beyond the last scheduled FOMC meeting: one level per month.</t>
        </is>
      </c>
    </row>
    <row r="5">
      <c r="A5" s="28" t="inlineStr">
        <is>
          <t>Levels are fitted by least squares to all SR3 quarterlies and to serial SR3 / SR1 contracts with open interest, with a light curvature penalty so the back end is smooth.</t>
        </is>
      </c>
    </row>
    <row r="6">
      <c r="A6" s="28" t="inlineStr">
        <is>
          <t>Convexity: futures rates are reduced by a Hull-White one-factor adjustment (sigma = 0.90% normal, mean reversion a = 0.03). On this curve: 3 bp at 3 years, 9 bp at 5 years, 28 bp at 10 years. The 'Futures-Implied' column shows the curve with no adjustment.</t>
        </is>
      </c>
    </row>
    <row r="7">
      <c r="A7" s="28" t="inlineStr">
        <is>
          <t>Contracts beyond about 7 years carry little or no open interest; CME sets their settlements from spreads, so the last few years of the curve are indicative. Months after the last contract hold its level flat.</t>
        </is>
      </c>
    </row>
    <row r="8">
      <c r="A8" s="28" t="inlineStr">
        <is>
          <t>1M Fwd SOFR is compounded SOFR over each calendar month and approximates the 1M CME Term SOFR fixing on the reset date to within a few bp; it is not CME Term SOFR.</t>
        </is>
      </c>
    </row>
    <row r="9">
      <c r="A9" s="29" t="inlineStr">
        <is>
          <t>Not investment advice. Market data (c) CME Group and the Federal Reserve Bank of New York.</t>
        </is>
      </c>
    </row>
    <row r="10">
      <c r="A10" s="28" t="inlineStr"/>
    </row>
    <row r="11">
      <c r="A11" s="30" t="inlineStr">
        <is>
          <t>API (CORS-enabled, static JSON/CSV)</t>
        </is>
      </c>
    </row>
    <row r="12">
      <c r="A12" s="28" t="inlineStr">
        <is>
          <t>https://raw.githubusercontent.com/jkane-29/opensofr/main/output/api/v1/latest.json</t>
        </is>
      </c>
    </row>
    <row r="13">
      <c r="A13" s="28" t="inlineStr">
        <is>
          <t>https://raw.githubusercontent.com/jkane-29/opensofr/main/output/api/v1/latest.csv</t>
        </is>
      </c>
    </row>
    <row r="14">
      <c r="A14" s="28" t="inlineStr">
        <is>
          <t>https://raw.githubusercontent.com/jkane-29/opensofr/main/output/api/v1/history/index.json  (list of dates; then /api/v1/history/YYYY-MM-DD.json or .csv)</t>
        </is>
      </c>
    </row>
    <row r="15">
      <c r="A15" s="28" t="inlineStr">
        <is>
          <t>https://raw.githubusercontent.com/jkane-29/opensofr/main/output/downloads/sofr-forward-curve.xlsx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2026-10-24T16:35:41Z</dcterms:created>
  <dcterms:modified xsi:type="dcterms:W3CDTF">2026-10-24T16:35:41Z</dcterms:modified>
</cp:coreProperties>
</file>